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73BCA93-6715-4692-9F33-D72FB3C1683C}" xr6:coauthVersionLast="47" xr6:coauthVersionMax="47" xr10:uidLastSave="{00000000-0000-0000-0000-000000000000}"/>
  <bookViews>
    <workbookView xWindow="-110" yWindow="-110" windowWidth="19420" windowHeight="10420" firstSheet="1" activeTab="1" xr2:uid="{CF218493-7900-4BFC-8FFA-7788744323AE}"/>
  </bookViews>
  <sheets>
    <sheet name="Sheet1" sheetId="1" state="hidden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4" i="2" l="1"/>
  <c r="B134" i="2"/>
  <c r="A134" i="2"/>
  <c r="D133" i="2"/>
  <c r="B133" i="2"/>
  <c r="A133" i="2"/>
  <c r="K24" i="2"/>
  <c r="K23" i="2"/>
  <c r="K22" i="2"/>
  <c r="K21" i="2"/>
  <c r="K20" i="2"/>
  <c r="K19" i="2"/>
  <c r="K18" i="2"/>
  <c r="F558" i="1"/>
  <c r="H553" i="1"/>
  <c r="H558" i="1"/>
  <c r="F549" i="1"/>
  <c r="H544" i="1"/>
  <c r="H549" i="1"/>
  <c r="F540" i="1"/>
  <c r="H537" i="1"/>
  <c r="H536" i="1"/>
  <c r="H535" i="1"/>
  <c r="H540" i="1"/>
  <c r="F531" i="1"/>
  <c r="H528" i="1"/>
  <c r="H531" i="1"/>
  <c r="F524" i="1"/>
  <c r="H521" i="1"/>
  <c r="H520" i="1"/>
  <c r="F516" i="1"/>
  <c r="H512" i="1"/>
  <c r="H516" i="1"/>
  <c r="F508" i="1"/>
  <c r="H505" i="1"/>
  <c r="H504" i="1"/>
  <c r="H502" i="1"/>
  <c r="H501" i="1"/>
  <c r="H500" i="1"/>
  <c r="H499" i="1"/>
  <c r="H498" i="1"/>
  <c r="H497" i="1"/>
  <c r="H508" i="1"/>
  <c r="H490" i="1"/>
  <c r="F486" i="1"/>
  <c r="H483" i="1"/>
  <c r="H482" i="1"/>
  <c r="H481" i="1"/>
  <c r="H480" i="1"/>
  <c r="H479" i="1"/>
  <c r="H478" i="1"/>
  <c r="H486" i="1"/>
  <c r="F474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74" i="1"/>
  <c r="F454" i="1"/>
  <c r="H449" i="1"/>
  <c r="H454" i="1"/>
  <c r="H442" i="1"/>
  <c r="H445" i="1"/>
  <c r="H434" i="1"/>
  <c r="H433" i="1"/>
  <c r="F429" i="1"/>
  <c r="H424" i="1"/>
  <c r="H429" i="1"/>
  <c r="H417" i="1"/>
  <c r="H420" i="1"/>
  <c r="H408" i="1"/>
  <c r="H413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404" i="1"/>
  <c r="H381" i="1"/>
  <c r="H384" i="1"/>
  <c r="F377" i="1"/>
  <c r="H374" i="1"/>
  <c r="H373" i="1"/>
  <c r="H372" i="1"/>
  <c r="H371" i="1"/>
  <c r="H377" i="1"/>
  <c r="F367" i="1"/>
  <c r="H364" i="1"/>
  <c r="H363" i="1"/>
  <c r="H367" i="1"/>
  <c r="F359" i="1"/>
  <c r="H355" i="1"/>
  <c r="H354" i="1"/>
  <c r="H353" i="1"/>
  <c r="H359" i="1"/>
  <c r="F349" i="1"/>
  <c r="H346" i="1"/>
  <c r="H345" i="1"/>
  <c r="H349" i="1"/>
  <c r="F341" i="1"/>
  <c r="H336" i="1"/>
  <c r="H341" i="1"/>
  <c r="F332" i="1"/>
  <c r="H328" i="1"/>
  <c r="H327" i="1"/>
  <c r="H326" i="1"/>
  <c r="H325" i="1"/>
  <c r="H332" i="1"/>
  <c r="F321" i="1"/>
  <c r="H318" i="1"/>
  <c r="H317" i="1"/>
  <c r="H316" i="1"/>
  <c r="H321" i="1"/>
  <c r="F312" i="1"/>
  <c r="H309" i="1"/>
  <c r="F305" i="1"/>
  <c r="H302" i="1"/>
  <c r="F298" i="1"/>
  <c r="H295" i="1"/>
  <c r="F291" i="1"/>
  <c r="H288" i="1"/>
  <c r="H287" i="1"/>
  <c r="H286" i="1"/>
  <c r="H291" i="1"/>
  <c r="F282" i="1"/>
  <c r="H279" i="1"/>
  <c r="H278" i="1"/>
  <c r="H275" i="1"/>
  <c r="F271" i="1"/>
  <c r="H268" i="1"/>
  <c r="H271" i="1"/>
  <c r="F264" i="1"/>
  <c r="H261" i="1"/>
  <c r="H260" i="1"/>
  <c r="H264" i="1"/>
  <c r="F256" i="1"/>
  <c r="H253" i="1"/>
  <c r="H256" i="1"/>
  <c r="F249" i="1"/>
  <c r="H245" i="1"/>
  <c r="H244" i="1"/>
  <c r="H243" i="1"/>
  <c r="H242" i="1"/>
  <c r="H241" i="1"/>
  <c r="H240" i="1"/>
  <c r="H239" i="1"/>
  <c r="H238" i="1"/>
  <c r="H237" i="1"/>
  <c r="H236" i="1"/>
  <c r="H249" i="1"/>
  <c r="F225" i="1"/>
  <c r="H222" i="1"/>
  <c r="H225" i="1"/>
  <c r="F218" i="1"/>
  <c r="H215" i="1"/>
  <c r="H218" i="1"/>
  <c r="F211" i="1"/>
  <c r="H208" i="1"/>
  <c r="H211" i="1"/>
  <c r="F204" i="1"/>
  <c r="H201" i="1"/>
  <c r="H200" i="1"/>
  <c r="F196" i="1"/>
  <c r="H193" i="1"/>
  <c r="H196" i="1"/>
  <c r="F189" i="1"/>
  <c r="H186" i="1"/>
  <c r="H189" i="1"/>
  <c r="F182" i="1"/>
  <c r="H178" i="1"/>
  <c r="H182" i="1"/>
  <c r="F174" i="1"/>
  <c r="H171" i="1"/>
  <c r="H170" i="1"/>
  <c r="H169" i="1"/>
  <c r="H174" i="1"/>
  <c r="F165" i="1"/>
  <c r="H162" i="1"/>
  <c r="H161" i="1"/>
  <c r="H160" i="1"/>
  <c r="H159" i="1"/>
  <c r="F155" i="1"/>
  <c r="H152" i="1"/>
  <c r="H155" i="1"/>
  <c r="F148" i="1"/>
  <c r="H145" i="1"/>
  <c r="H144" i="1"/>
  <c r="H143" i="1"/>
  <c r="H142" i="1"/>
  <c r="H141" i="1"/>
  <c r="H140" i="1"/>
  <c r="H139" i="1"/>
  <c r="F135" i="1"/>
  <c r="H132" i="1"/>
  <c r="H135" i="1"/>
  <c r="F128" i="1"/>
  <c r="H124" i="1"/>
  <c r="H123" i="1"/>
  <c r="H122" i="1"/>
  <c r="H121" i="1"/>
  <c r="H120" i="1"/>
  <c r="H119" i="1"/>
  <c r="H118" i="1"/>
  <c r="H128" i="1"/>
  <c r="F114" i="1"/>
  <c r="H111" i="1"/>
  <c r="H110" i="1"/>
  <c r="H109" i="1"/>
  <c r="H108" i="1"/>
  <c r="H107" i="1"/>
  <c r="H106" i="1"/>
  <c r="H105" i="1"/>
  <c r="H104" i="1"/>
  <c r="H114" i="1"/>
  <c r="F100" i="1"/>
  <c r="H97" i="1"/>
  <c r="H100" i="1"/>
  <c r="F93" i="1"/>
  <c r="H90" i="1"/>
  <c r="H89" i="1"/>
  <c r="H88" i="1"/>
  <c r="F84" i="1"/>
  <c r="H81" i="1"/>
  <c r="H80" i="1"/>
  <c r="H84" i="1"/>
  <c r="F76" i="1"/>
  <c r="H73" i="1"/>
  <c r="H72" i="1"/>
  <c r="H71" i="1"/>
  <c r="H70" i="1"/>
  <c r="H69" i="1"/>
  <c r="H68" i="1"/>
  <c r="H76" i="1"/>
  <c r="F64" i="1"/>
  <c r="H61" i="1"/>
  <c r="H64" i="1"/>
  <c r="F57" i="1"/>
  <c r="H53" i="1"/>
  <c r="H57" i="1"/>
  <c r="F49" i="1"/>
  <c r="H46" i="1"/>
  <c r="H49" i="1"/>
  <c r="F42" i="1"/>
  <c r="H39" i="1"/>
  <c r="H38" i="1"/>
  <c r="H37" i="1"/>
  <c r="H42" i="1"/>
  <c r="F33" i="1"/>
  <c r="H30" i="1"/>
  <c r="H29" i="1"/>
  <c r="H28" i="1"/>
  <c r="H27" i="1"/>
  <c r="H26" i="1"/>
  <c r="H25" i="1"/>
  <c r="H24" i="1"/>
  <c r="H33" i="1"/>
  <c r="F20" i="1"/>
  <c r="H15" i="1"/>
  <c r="H20" i="1"/>
  <c r="F10" i="1"/>
  <c r="H7" i="1"/>
  <c r="H6" i="1"/>
  <c r="H5" i="1"/>
  <c r="H4" i="1"/>
  <c r="H10" i="1"/>
  <c r="H93" i="1"/>
  <c r="H204" i="1"/>
  <c r="H148" i="1"/>
  <c r="H165" i="1"/>
  <c r="H282" i="1"/>
  <c r="H524" i="1"/>
</calcChain>
</file>

<file path=xl/sharedStrings.xml><?xml version="1.0" encoding="utf-8"?>
<sst xmlns="http://schemas.openxmlformats.org/spreadsheetml/2006/main" count="2074" uniqueCount="282">
  <si>
    <t>TANGGAL</t>
  </si>
  <si>
    <t>SHIPMENT WEEK</t>
  </si>
  <si>
    <t>ASAP - AMEIDE</t>
  </si>
  <si>
    <t>NO PO</t>
  </si>
  <si>
    <t>2025-10/PO/VDL-117SJ</t>
  </si>
  <si>
    <t>NO. ORDER CUST.</t>
  </si>
  <si>
    <t>ART NO</t>
  </si>
  <si>
    <t>FIN</t>
  </si>
  <si>
    <t>QTY ORDER</t>
  </si>
  <si>
    <t>REST QTY</t>
  </si>
  <si>
    <t>FCL</t>
  </si>
  <si>
    <t>%</t>
  </si>
  <si>
    <t>LOUNGE TABLE 120X65H35CM TEAKWOOD- FINISHING RUSTIC OUTDOOR</t>
  </si>
  <si>
    <t>FRO- FINISHING RUSTIC OUTDOOR</t>
  </si>
  <si>
    <t>RESTAURANT TABLE D70H74CM TEAKWOOD- FINISHING RUSTIC OUTDOOR</t>
  </si>
  <si>
    <t>DINING OUTDOOR TABLE 240X100H78CM TEAKWOOD- FINISHING RUSTIC OUTDOOR</t>
  </si>
  <si>
    <t>DINING OUTDOOR TABLE 300X100H78CM TEAKWOOD- FINISHING RUSTIC OUTDOOR</t>
  </si>
  <si>
    <t>*</t>
  </si>
  <si>
    <t>SHIPMENT TO AMEIDE</t>
  </si>
  <si>
    <t>STANDARD LABEL &amp; PACKING</t>
  </si>
  <si>
    <t>2025-11/PO/VDL-141P / 028SJ</t>
  </si>
  <si>
    <t>SHIPMENT: MAX WEEK 17</t>
  </si>
  <si>
    <t>SLICE W/GRIP RECT 50X40H3.5CM- RUSTIC</t>
  </si>
  <si>
    <t>NATURAL</t>
  </si>
  <si>
    <t>WITH FOODSAFE STAMP</t>
  </si>
  <si>
    <t>NO NEED 1XSHIPMENT</t>
  </si>
  <si>
    <t>STANDARD LABEL &amp; PACKING TYPE</t>
  </si>
  <si>
    <t>BLOND</t>
  </si>
  <si>
    <t>ANTGREY</t>
  </si>
  <si>
    <t>STOOL TEAK NATURAL D15H17CM</t>
  </si>
  <si>
    <t>STOOL TEAK NATURAL D17H22CM</t>
  </si>
  <si>
    <t>STOOL TEAK NATURAL D20H27CM</t>
  </si>
  <si>
    <t>PLATE WITH 4 LEGS TEAK NATURAL D15H5CM</t>
  </si>
  <si>
    <t>PLATE WITH 4 LEGS TEAK NATURAL D20H6CM</t>
  </si>
  <si>
    <t>PLATE WITH 4 LEGS TEAK NATURAL D40H8CM</t>
  </si>
  <si>
    <t>A S A P / MAX 6 WEEKS - 1XSHIPMENT</t>
  </si>
  <si>
    <t>2026-03/PO/VDL-049D</t>
  </si>
  <si>
    <t>112989 REF 11436</t>
  </si>
  <si>
    <t>DRYPOT BOWL TINA D32H10CM- ANT GREY</t>
  </si>
  <si>
    <t>DRYPOT BOWL TINA D40H16CM- ANT GREY</t>
  </si>
  <si>
    <t>DRYPOT BOWL TINA D60H25CM- ANT GREY</t>
  </si>
  <si>
    <t>DRYPOT ANTGREY D34H30CM</t>
  </si>
  <si>
    <t>DRYPOT ANTGREY D39H36CM</t>
  </si>
  <si>
    <t>DRYPOT ANT GREY D45H44CM</t>
  </si>
  <si>
    <t>DRYPOT ANT GREY D54H48CM</t>
  </si>
  <si>
    <t>SHIPMENT TO AMEIDE - 1XSHIPMENT - VIA NGORO</t>
  </si>
  <si>
    <t>2026-03/PO/VDL-049SJ</t>
  </si>
  <si>
    <t>FRAME ONLY - BANDA DINING CHAIR 58X56H80CM- TEAK/ 
PANDAN</t>
  </si>
  <si>
    <t>DINING OUTDOOR TABLE 240X100H78CM TEAKWOODFINISHING 
RUSTIC OUTDOOR</t>
  </si>
  <si>
    <t>DINING OUTDOOR TABLE 300X100H78CM TEAKWOODFINISHING 
RUSTIC OUTDOOR</t>
  </si>
  <si>
    <t>2026-03/PO/VDL-049H2</t>
  </si>
  <si>
    <t>STACKING CHAIR 58X54H83CM TEAK- SYNTHETIC SEAGRASS</t>
  </si>
  <si>
    <t>NATURAL TEAK</t>
  </si>
  <si>
    <t>2026-03/PO/VDL-053H2</t>
  </si>
  <si>
    <t>PLATE WITH LEGS D30H7CM- NAT/BLACK</t>
  </si>
  <si>
    <t>NATURAL-BLACK</t>
  </si>
  <si>
    <t>TAKEN FROM STOCK ITEM 301112</t>
  </si>
  <si>
    <t>2026-03/PO/VDL-053P</t>
  </si>
  <si>
    <t>A S A P - AMEIDE</t>
  </si>
  <si>
    <t>2026-04/PO/VDL-055P</t>
  </si>
  <si>
    <t>PLATE WITH 4 LEGS TEAK NATURAL D30H7CM</t>
  </si>
  <si>
    <t>LOW TABLE D20H5CM TEAKWOOD- NEW LEG</t>
  </si>
  <si>
    <t>2026-04/PO/VDL-056SJ</t>
  </si>
  <si>
    <t>LANTERN WOODEN SLATS D20H10CM GLAS D7.5CM FINISHING
RUSTIC OUTDOOR</t>
  </si>
  <si>
    <t>FROFINISHING 
RUSTIC 
OUTDOOR</t>
  </si>
  <si>
    <t>SQUARE WOODEN LANTERN 20X20H25CM GLAS D7.5CM FINISHING 
RUSTIC OUTDOOR</t>
  </si>
  <si>
    <t>2026-04/PO/VDL-069D</t>
  </si>
  <si>
    <t>DRYPOT JUMBO CL D130H72CM</t>
  </si>
  <si>
    <t>CL-NATURAL</t>
  </si>
  <si>
    <t>DRYPOT SQUARE TINA LOW 44X44H15CM- ANT GREY</t>
  </si>
  <si>
    <t>STANDAR PACKING &amp; LABEL</t>
  </si>
  <si>
    <t>2026-04/PO/VDL-069S</t>
  </si>
  <si>
    <t>DRYPOT NATURAL ABACA D27H20CM</t>
  </si>
  <si>
    <t>2026-05/PO/VDL-070D</t>
  </si>
  <si>
    <t>TROLLEY KUBUS 53X53H56CM W/WHEELS- ANT GREY</t>
  </si>
  <si>
    <t>DRYPOT SQUARE TINA LOW 50X50H18CM- ANT GREY</t>
  </si>
  <si>
    <t>VERTICAL WEAVE ANTGREY - SET/3 - INCL LINER A. D30H27CM B. 40H37CM C. D50H47CM</t>
  </si>
  <si>
    <t>DRYPOT WOODEN LEGS BLACK D33H45CM</t>
  </si>
  <si>
    <t>2026-05/PO/VDL-070H2</t>
  </si>
  <si>
    <t>PLATE TEAK SQUARE 20X20H6CM</t>
  </si>
  <si>
    <t>TAKEN FROM STOCK</t>
  </si>
  <si>
    <t>2026-05/PO/VDL-070SJ</t>
  </si>
  <si>
    <t>FRAME ONLY - BANDA DINING 
CHAIR 58X56H80CM- TEAK/ PANDAN</t>
  </si>
  <si>
    <t>2026-05/PO/VDL-070P</t>
  </si>
  <si>
    <t>LOW TABLE D15H5CM TEAKWOOD- NEW LEG</t>
  </si>
  <si>
    <t>STOOL ROOT D35-40H45CM- TEAK WOOD</t>
  </si>
  <si>
    <t>MINERAL OIL</t>
  </si>
  <si>
    <t>2026-05/PO/VDL-070S</t>
  </si>
  <si>
    <t>27 - AMEIDE</t>
  </si>
  <si>
    <t>2026-05/PO/VDL-077D</t>
  </si>
  <si>
    <t>HANGING DECO STAR D30T3.5CM- ANT GREY</t>
  </si>
  <si>
    <t>HANGING DECO STAR D40T3.5CM- ANT GREY</t>
  </si>
  <si>
    <t>HANGING DECO STAR D50T3.5CM- ANT GREY</t>
  </si>
  <si>
    <t>AIR BALLOON D225H400CM KD ALU FRAME KD- RED WHITE</t>
  </si>
  <si>
    <t>RED-WHITE</t>
  </si>
  <si>
    <t xml:space="preserve">SHIPMENT TO AMEIDE
</t>
  </si>
  <si>
    <t>2026-05/PO/VDL-079D</t>
  </si>
  <si>
    <t>DRYPOT TINA D46H36CM- ABACA</t>
  </si>
  <si>
    <t>DRYPOT ANTGREY D42H40CM</t>
  </si>
  <si>
    <t>2026-05/PO/VDL-079H2</t>
  </si>
  <si>
    <t>2026-05/PO/VDL-079S</t>
  </si>
  <si>
    <t>EGG CHAIR RATTAN BLOND 77X69H120CM - INCL CUSHION</t>
  </si>
  <si>
    <t>WALL LAMP WEBBING D30H10CM- INCL FITTING</t>
  </si>
  <si>
    <t>BLACK</t>
  </si>
  <si>
    <t>STOOL TOP 3CM NAT D30H45CM- TEAK WOOD</t>
  </si>
  <si>
    <t>STOOL RECT 43X21H38 RANTING- TEAK WOOD</t>
  </si>
  <si>
    <t>BENCH RANTING 98X33H40 FIXEDTEAKWOOD</t>
  </si>
  <si>
    <t>2026-06/PO/VDL-082F</t>
  </si>
  <si>
    <t>SLICE RECT W/ 4 CANDLE HOLDERS 70X13H9CM- TEAKWOOD</t>
  </si>
  <si>
    <t>2026-06/PO/VDL-083D</t>
  </si>
  <si>
    <t>HANGING POT STRIPE GREY D18H16CM</t>
  </si>
  <si>
    <t>TIKI BAR RATTAN 160X90H230CM INCL 2XCUTTING BOARD- W/WHEELS</t>
  </si>
  <si>
    <t>2026-06/PO/VDL-083MI</t>
  </si>
  <si>
    <t>2026-06/PO/VDL-083F</t>
  </si>
  <si>
    <t>2026-06/PO/VDL-083H2</t>
  </si>
  <si>
    <t>CANDLE HOLDER RECT W/ 4 CANDLE HOLDERS 57X15H9-16CM- MAHOGANY WOOD</t>
  </si>
  <si>
    <t>VINTAGE LOOK</t>
  </si>
  <si>
    <t>SHIPMENT TO AMEIDE, TAKEN FROM STOCK 040MI</t>
  </si>
  <si>
    <t>2026-06/PO/VDL-083SJ</t>
  </si>
  <si>
    <t>SLICE W/GRIP RECT 50X40H3.5CM- RUSTIC 
(SLICE FOR TIKIBAR)</t>
  </si>
  <si>
    <t>SLICE FOR TIKIBAR - 303262</t>
  </si>
  <si>
    <t>2026-06/PO/VDL-083P</t>
  </si>
  <si>
    <t>PLATE TEAK SQUARE 15X15H5CM</t>
  </si>
  <si>
    <t>VPE FOLLOW THE NEWEST VPE FROM EMAIL</t>
  </si>
  <si>
    <t>2026-06/PO/VDL-084P</t>
  </si>
  <si>
    <t>STANDARD LABEL</t>
  </si>
  <si>
    <t>2026-06/PO/VDL-085D</t>
  </si>
  <si>
    <t>SEATER OF MAMASAN 180X110CM BLACK - W/O CUSHION</t>
  </si>
  <si>
    <t>SEATER OF MAMASAN 180X110CM BROWN NATURAL - W/O CUSHION</t>
  </si>
  <si>
    <t>BROWN NATURAL</t>
  </si>
  <si>
    <t>2026-06/PO/VDL-086SJ</t>
  </si>
  <si>
    <t>ROUND OUTDOOR TABLE D140H78 KD- FINISHING 
RUSTIC OUTDOOR</t>
  </si>
  <si>
    <t>FINISHING RUSTIC OUTDOOR</t>
  </si>
  <si>
    <t>WEEK 27 OR EARLIER - AMEIDE</t>
  </si>
  <si>
    <t>2026-06/PO/VDL-089D</t>
  </si>
  <si>
    <t>LANTERN ABACA WOODEN 
LEG - SET/3 
A. D18H25CM 
B. D23H40CM 
C. D30H60CM</t>
  </si>
  <si>
    <t>WALL LAMP WEBBING SQUARE BLOND D50H10CM</t>
  </si>
  <si>
    <t>2026-06/PO/VDL-090D</t>
  </si>
  <si>
    <t>DRYPOT BIG RIM D46H47CM- ANT GREY</t>
  </si>
  <si>
    <t>DRYPOT BIG RIM D50H52CM- ANT GREY</t>
  </si>
  <si>
    <t>DRYPOT BIG RIM D60H54CM- ANT GREY</t>
  </si>
  <si>
    <t>2026-06/PO/VDL-092B</t>
  </si>
  <si>
    <t>113129 REF 1008583</t>
  </si>
  <si>
    <t>HANGING LAMP D25H50CM AGEL- INCL 
WIRE</t>
  </si>
  <si>
    <t>SHIPMENT TO AMEIDE - 1XSHIPMENT FROM NGORO</t>
  </si>
  <si>
    <t>2026-06/PO/VDL-092D</t>
  </si>
  <si>
    <t>STRIPE MIRROR GREY D70H5CM</t>
  </si>
  <si>
    <t>2026-06/PO/VDL-092N</t>
  </si>
  <si>
    <t>HANGING LAMP AGEL - SET/2 A. D45H55CM B. D55H70CM</t>
  </si>
  <si>
    <t>HANGING POT STRIPE BRONZE D20H19CM</t>
  </si>
  <si>
    <t>2026-06/PO/VDL-097Q</t>
  </si>
  <si>
    <t>IKAN WALL DECO 30-35X4-6H12-15CM- TEAK WOOD</t>
  </si>
  <si>
    <t>IKAN WALL DECO 40-45X4-6H14-16CM- TEAK WOOD</t>
  </si>
  <si>
    <t>IKAN WALL DECO 50-60X4-6H18-20CM- TEAK WOOD</t>
  </si>
  <si>
    <t>2026-07/PO/VDL-099H2</t>
  </si>
  <si>
    <t>DRYPOT D32H29- TWIG</t>
  </si>
  <si>
    <t>DRYPOT D39H36- TWIG</t>
  </si>
  <si>
    <t>DRYPOT D40H39- TWIG</t>
  </si>
  <si>
    <t>DRYPOT D44H43- TWIG</t>
  </si>
  <si>
    <t>2026-07/PO/VDL-099SJ</t>
  </si>
  <si>
    <t>BAR BALI SET KD - SET</t>
  </si>
  <si>
    <t>A. BAR TABLE 100X40H185CM - 1 PC</t>
  </si>
  <si>
    <t>B. BARCHAIR D30H65CM - 2 PCS</t>
  </si>
  <si>
    <t>DETAIL INFO WILL FOLLOW</t>
  </si>
  <si>
    <t>END OF DEC 2026 - LANDI VIA AMEIDE</t>
  </si>
  <si>
    <t>2026-07/PO/VDL-103D</t>
  </si>
  <si>
    <t>113152 REF 12298</t>
  </si>
  <si>
    <t>HANGING POT STRIPE GREY D15H14CM</t>
  </si>
  <si>
    <t>HANGING POT STRIPE GREY D20H19CM</t>
  </si>
  <si>
    <t>SPECIAL LABEL LANDI</t>
  </si>
  <si>
    <t>2026-07/PO/VDL-103P</t>
  </si>
  <si>
    <t>LOW TABLE D25H5CM TEAKWOOD- NEW LEG</t>
  </si>
  <si>
    <t>LOW TABLE D30H5CM TEAKWOOD- NEW LEG</t>
  </si>
  <si>
    <t>2026-07/PO/VDL-103MI</t>
  </si>
  <si>
    <t>BENCH RANTING 98X33H40 FIXED- TEAKWOOD</t>
  </si>
  <si>
    <t>2026-07/PO/VDL-103Q</t>
  </si>
  <si>
    <t>A S A P / MAX 2 WEEKS - AMEIDE</t>
  </si>
  <si>
    <t>2026-07/PO/VDL-106SJ</t>
  </si>
  <si>
    <t>BIRDHOUSE 52X52H162 KDTEAKWOOD</t>
  </si>
  <si>
    <t>DRYPOT JUMBO D100H70CM- CL GREY</t>
  </si>
  <si>
    <t>CL GREY</t>
  </si>
  <si>
    <t>2026-07/PO/VDL-109D</t>
  </si>
  <si>
    <t>DRYPOT TINA D30H18CM- STRIPE</t>
  </si>
  <si>
    <t>DRYPOT RATTAN STRIPE GREY D42H39CM</t>
  </si>
  <si>
    <t>DRYPOT RATTAN STRIPE GREY D45H43CM</t>
  </si>
  <si>
    <t>MID OF DEC - AMEIDE</t>
  </si>
  <si>
    <t>2026-07/PO/VDL-110SJ</t>
  </si>
  <si>
    <t>113266 REF 2329</t>
  </si>
  <si>
    <t>SHIPMENT TO AMEIDE - 1XSHIPMENT</t>
  </si>
  <si>
    <t>2026-07/PO/VDL-114Q</t>
  </si>
  <si>
    <t>2026-07/PO/VDL-114SJ</t>
  </si>
  <si>
    <t>A S A P - 1XSHIPMENT - AMEIDE</t>
  </si>
  <si>
    <t>2026-07/PO/VDL-117Q</t>
  </si>
  <si>
    <t>113187 REF 1008665</t>
  </si>
  <si>
    <t>STOOL SHOJI 30X20H25CM- TEAK WOOD RUSTIC</t>
  </si>
  <si>
    <t>STOOL SHOJI 40X30H46CM- TEAK WOOD RUSTIC</t>
  </si>
  <si>
    <t>LOAD IN FRONT AND THEN FILL UP WITH NORMAL AMEIDE</t>
  </si>
  <si>
    <t>2026-07/PO/VDL-118D</t>
  </si>
  <si>
    <t>113189 REF 8528</t>
  </si>
  <si>
    <t>2026-07/PO/VDL-119AA</t>
  </si>
  <si>
    <t>SET MAJAPAHIT TABLE TEAKWOOD - NATURAL</t>
  </si>
  <si>
    <t>1X TABLE 50X50H55CM</t>
  </si>
  <si>
    <t>2X STOOL D35H40CM</t>
  </si>
  <si>
    <t>2026-07/PO/VDL-121D</t>
  </si>
  <si>
    <t>POT ROUND BALLOON STRIPE D15H14CM</t>
  </si>
  <si>
    <t>POT STRIPE WOODEN LEGS GREY D25H40CM</t>
  </si>
  <si>
    <t>POT STRIPE WOODEN LEGS GREY D20H47</t>
  </si>
  <si>
    <t>POT STRIPE WOODEN LEGS GREY D25H64CM</t>
  </si>
  <si>
    <t>POT STRIPE WOODEN LEGS GREY D25H74CM</t>
  </si>
  <si>
    <t>BRONZE WASH</t>
  </si>
  <si>
    <t>DRYPOT WOODEN LEGS STRIPE GREY D27H42CM</t>
  </si>
  <si>
    <t>DRYPOT WOODEN LEGS STRIPE GREY D32H45CM</t>
  </si>
  <si>
    <t>VERTICAL WEAVE SET/3 ANTGREY - INCL LINER A. D30H27CM B. D40H37CM C. D50H47CM</t>
  </si>
  <si>
    <t>DRYPOT ROUND STRIPE GREY D27H20CM</t>
  </si>
  <si>
    <t>2026-07/PO/VDL-121Q</t>
  </si>
  <si>
    <t>PLATE WITH 4 LEGS TEAK NATURAL D25H6CM</t>
  </si>
  <si>
    <t>TEAK STAIRS NATURAL 35X55H160CM</t>
  </si>
  <si>
    <t>2026-07/PO/VDL-121AA</t>
  </si>
  <si>
    <t>STOOL TOP 3CM NAT 
D30H45CM- TEAK WOOD</t>
  </si>
  <si>
    <t>2026-07/PO/VDL-121S</t>
  </si>
  <si>
    <t>ABACA CYLINDER D35H35CM- W/O HANDLE</t>
  </si>
  <si>
    <t>ABACA CYLINDER D46H45CM- W/O HANDLE</t>
  </si>
  <si>
    <t>HANGING ABACA WEAVE D14H12CM- SEAGRASS ROPE</t>
  </si>
  <si>
    <t>HANGING ABACA WEAVE D16H15CM- SEAGRASS ROPE</t>
  </si>
  <si>
    <t>HANGING ABACA WEAVE D19H17CM- SEAGRASS ROPE</t>
  </si>
  <si>
    <t>HANGING ABACA WEAVE D21H20CM- SEAGRASS ROPE</t>
  </si>
  <si>
    <t>BASKET BELLY ABACA D29H24CM - PACKING: 3 PCS/WRAPPED</t>
  </si>
  <si>
    <t>BASKET BELLY ABACA D40H33CM- PACKING: 3 PCS/WRAPPED</t>
  </si>
  <si>
    <t>HANGING BASKET BELLY ABACA D29H24-D40H33CM SET/2- THICK JUTE ROPE</t>
  </si>
  <si>
    <t>2026-07/PO/VDL-121H2</t>
  </si>
  <si>
    <t>2026-07/PO/VDL-121SJ</t>
  </si>
  <si>
    <t>FRAME ONLY - BANDA DINING
CHAIR 58X56H80CM- TEAK / PANDAN</t>
  </si>
  <si>
    <t>STACKING CHAIR 58X54H83CM TEAKSYNTHETIC 
SEAGRASS</t>
  </si>
  <si>
    <t>2026-07/PO/VDL-121MI</t>
  </si>
  <si>
    <t>BENCH RANTING 
98X33H40 FIXEDTEAKWOOD</t>
  </si>
  <si>
    <t>2026-07/PO/VDL-123SJ</t>
  </si>
  <si>
    <t>LOUNGE CHAIR 64X79H75CM 
TEAK- WATERHYACINTH SYNTHETIC</t>
  </si>
  <si>
    <t>LOUNGE CHAIR KD 66X79H77CM W/ ARM 
TEAK- SYNTHETIC WATERHYACINTH</t>
  </si>
  <si>
    <t>LOUNGER BALI 157X64H80CM- TEAK/ 
SYNTHETIC RATTAN</t>
  </si>
  <si>
    <t>WEEK 05, 2027 - STANZE/AMEIDE</t>
  </si>
  <si>
    <t>2026-07/PO/VDL-125F</t>
  </si>
  <si>
    <t>113213 REF 1008665</t>
  </si>
  <si>
    <t>SHIPMENT TO STANZE VIA AMEIDE</t>
  </si>
  <si>
    <t>KHUSUS STANZE NORMAL STOOL, TOP TANPA LAMINASI</t>
  </si>
  <si>
    <t>PACKING : 2 PCS/BOX</t>
  </si>
  <si>
    <t>SPECIAL LABEL STANZE - NO VDL LABELS - NO METAL LOGO</t>
  </si>
  <si>
    <t>2026-07/PO/VDL-125Q</t>
  </si>
  <si>
    <t>PO DATE</t>
  </si>
  <si>
    <t>PO NO</t>
  </si>
  <si>
    <t>NO ORDER CUSTOMER</t>
  </si>
  <si>
    <t>DESKRIPSI</t>
  </si>
  <si>
    <t>FINISHING</t>
  </si>
  <si>
    <t>ASAP</t>
  </si>
  <si>
    <t>2025-11/PO/VDL-028SJ</t>
  </si>
  <si>
    <t>2026-03/PO/VDL-049 D/SJ/H2</t>
  </si>
  <si>
    <t>2026-05/PO/VDL-070 D/H2/SJ/P/S</t>
  </si>
  <si>
    <t>WEEK 27</t>
  </si>
  <si>
    <t>STOOL ROOT D35-40H45CM- TEAK WOOD-MINERAL OIL</t>
  </si>
  <si>
    <t>2026-06/PO/VDL-083 D/MI/F/H2/SJ/P</t>
  </si>
  <si>
    <t>2026-06/PO/VDL-092 B/D/N/IDR</t>
  </si>
  <si>
    <t>BAR BALI SET KD - SET , A. BAR TABLE 100X40H185CM - 1 PC, BARCHAIR D30H65CM - 2 PCS</t>
  </si>
  <si>
    <t>2026-07/PO/VDL-099 H2/SJ</t>
  </si>
  <si>
    <t>WEEK 49</t>
  </si>
  <si>
    <t>2026-07/PO/VDL-103 D/P/MI/Q</t>
  </si>
  <si>
    <t>WEEK 47</t>
  </si>
  <si>
    <t>2026-07/PO/VDL-114 Q/SJ</t>
  </si>
  <si>
    <t>2026-07/PO/VDL-121 D/Q/AA/S/H2/SJ/MI</t>
  </si>
  <si>
    <t>WEEK 52</t>
  </si>
  <si>
    <t>2026-07/PO/VDL-125 F/Q</t>
  </si>
  <si>
    <t>WEEK 28</t>
  </si>
  <si>
    <t>WEEK 29</t>
  </si>
  <si>
    <t>WEEK 30</t>
  </si>
  <si>
    <t>WEEK 50</t>
  </si>
  <si>
    <t>WEEK 51</t>
  </si>
  <si>
    <t>WEEK 53</t>
  </si>
  <si>
    <t>WEEK 54</t>
  </si>
  <si>
    <t>WEEK 55</t>
  </si>
  <si>
    <t>WEEK 56</t>
  </si>
  <si>
    <t>WEEK 57</t>
  </si>
  <si>
    <t>WEEK 58</t>
  </si>
  <si>
    <t>WEEK 59</t>
  </si>
  <si>
    <t>2026-07/PO/VDL-117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</si>
</sst>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333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21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4" fillId="2" borderId="3" xfId="0" applyFont="1" applyFill="1" applyBorder="1" applyAlignment="1">
      <alignment vertical="center"/>
    </xf>
    <xf numFmtId="0" fontId="0" fillId="2" borderId="3" xfId="0" applyFill="1" applyBorder="1" applyAlignment="1">
      <alignment wrapText="1"/>
    </xf>
    <xf numFmtId="0" fontId="0" fillId="0" borderId="4" xfId="0" applyBorder="1" applyAlignment="1">
      <alignment vertical="center" wrapText="1"/>
    </xf>
    <xf numFmtId="9" fontId="0" fillId="0" borderId="0" xfId="1" applyFont="1"/>
    <xf numFmtId="9" fontId="0" fillId="0" borderId="0" xfId="1" applyFont="1" applyAlignment="1">
      <alignment horizontal="left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3" fillId="2" borderId="7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5" fillId="2" borderId="7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10" xfId="0" applyBorder="1" applyAlignment="1">
      <alignment wrapText="1"/>
    </xf>
    <xf numFmtId="0" fontId="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3" xfId="0" applyFill="1" applyBorder="1" applyAlignment="1">
      <alignment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9" fontId="7" fillId="2" borderId="13" xfId="1" applyFont="1" applyFill="1" applyBorder="1" applyAlignment="1">
      <alignment horizontal="center" vertical="center" wrapText="1"/>
    </xf>
    <xf numFmtId="9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4" fillId="2" borderId="11" xfId="0" applyFont="1" applyFill="1" applyBorder="1" applyAlignment="1">
      <alignment horizontal="right" vertical="center" wrapText="1"/>
    </xf>
    <xf numFmtId="0" fontId="4" fillId="2" borderId="13" xfId="0" applyFont="1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0" borderId="3" xfId="0" applyBorder="1" applyAlignment="1">
      <alignment wrapText="1"/>
    </xf>
    <xf numFmtId="0" fontId="4" fillId="0" borderId="3" xfId="0" applyFont="1" applyBorder="1" applyAlignment="1">
      <alignment horizontal="center" wrapText="1"/>
    </xf>
    <xf numFmtId="9" fontId="4" fillId="0" borderId="3" xfId="0" applyNumberFormat="1" applyFont="1" applyBorder="1" applyAlignment="1">
      <alignment horizontal="center" wrapText="1"/>
    </xf>
    <xf numFmtId="0" fontId="0" fillId="2" borderId="12" xfId="0" applyFill="1" applyBorder="1" applyAlignment="1">
      <alignment vertical="center" wrapText="1"/>
    </xf>
    <xf numFmtId="0" fontId="4" fillId="2" borderId="13" xfId="0" applyFont="1" applyFill="1" applyBorder="1" applyAlignment="1">
      <alignment horizontal="right" vertical="center" wrapText="1"/>
    </xf>
    <xf numFmtId="0" fontId="4" fillId="3" borderId="13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0" fillId="2" borderId="3" xfId="0" applyFill="1" applyBorder="1" applyAlignment="1">
      <alignment vertical="top" wrapText="1"/>
    </xf>
    <xf numFmtId="0" fontId="0" fillId="0" borderId="3" xfId="0" applyBorder="1" applyAlignment="1">
      <alignment horizontal="center" wrapText="1"/>
    </xf>
    <xf numFmtId="9" fontId="4" fillId="4" borderId="3" xfId="0" applyNumberFormat="1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0" fillId="2" borderId="7" xfId="0" applyFill="1" applyBorder="1" applyAlignment="1">
      <alignment wrapText="1"/>
    </xf>
    <xf numFmtId="0" fontId="0" fillId="0" borderId="7" xfId="0" applyBorder="1" applyAlignment="1">
      <alignment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vertical="center" wrapText="1"/>
    </xf>
    <xf numFmtId="0" fontId="9" fillId="2" borderId="13" xfId="0" applyFont="1" applyFill="1" applyBorder="1" applyAlignment="1">
      <alignment horizontal="right" vertical="center" wrapText="1"/>
    </xf>
    <xf numFmtId="0" fontId="0" fillId="2" borderId="10" xfId="0" applyFill="1" applyBorder="1" applyAlignment="1">
      <alignment vertical="center" wrapText="1"/>
    </xf>
    <xf numFmtId="0" fontId="9" fillId="2" borderId="11" xfId="0" applyFont="1" applyFill="1" applyBorder="1" applyAlignment="1">
      <alignment horizontal="right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10" fillId="2" borderId="13" xfId="0" applyFont="1" applyFill="1" applyBorder="1" applyAlignment="1">
      <alignment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5" fillId="0" borderId="0" xfId="0" applyFon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9" xfId="0" applyBorder="1" applyAlignment="1">
      <alignment horizontal="center"/>
    </xf>
    <xf numFmtId="0" fontId="2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9" fontId="2" fillId="3" borderId="19" xfId="1" applyFont="1" applyFill="1" applyBorder="1" applyAlignment="1">
      <alignment horizontal="center" vertical="center"/>
    </xf>
    <xf numFmtId="0" fontId="0" fillId="0" borderId="19" xfId="0" applyBorder="1"/>
    <xf numFmtId="9" fontId="0" fillId="0" borderId="19" xfId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14" fontId="3" fillId="2" borderId="1" xfId="0" applyNumberFormat="1" applyFont="1" applyFill="1" applyBorder="1" applyAlignment="1">
      <alignment horizontal="left" wrapText="1"/>
    </xf>
    <xf numFmtId="14" fontId="3" fillId="2" borderId="2" xfId="0" applyNumberFormat="1" applyFont="1" applyFill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2" borderId="14" xfId="0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0" fillId="2" borderId="16" xfId="0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wrapText="1"/>
    </xf>
    <xf numFmtId="14" fontId="3" fillId="2" borderId="2" xfId="0" applyNumberFormat="1" applyFont="1" applyFill="1" applyBorder="1" applyAlignment="1">
      <alignment wrapText="1"/>
    </xf>
    <xf numFmtId="14" fontId="0" fillId="0" borderId="19" xfId="0" applyNumberFormat="1" applyBorder="1" applyAlignment="1">
      <alignment vertical="center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14" fontId="2" fillId="3" borderId="19" xfId="0" applyNumberFormat="1" applyFont="1" applyFill="1" applyBorder="1" applyAlignment="1">
      <alignment horizontal="right" vertical="center"/>
    </xf>
    <xf numFmtId="14" fontId="0" fillId="0" borderId="19" xfId="0" applyNumberFormat="1" applyBorder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2" fillId="3" borderId="19" xfId="0" applyFont="1" applyFill="1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2" fillId="3" borderId="19" xfId="0" applyFont="1" applyFill="1" applyBorder="1" applyAlignment="1">
      <alignment horizontal="right" vertical="center" wrapText="1"/>
    </xf>
    <xf numFmtId="0" fontId="0" fillId="0" borderId="19" xfId="0" applyBorder="1" applyAlignment="1">
      <alignment horizontal="right" vertical="center"/>
    </xf>
    <xf numFmtId="0" fontId="0" fillId="0" borderId="19" xfId="0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2" fillId="3" borderId="19" xfId="0" applyFont="1" applyFill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7919B-CF68-489A-B10D-D4F8CE034626}">
  <dimension ref="A1:AJ558"/>
  <sheetViews>
    <sheetView topLeftCell="A538" workbookViewId="0">
      <selection activeCell="B553" sqref="B553:H553"/>
    </sheetView>
  </sheetViews>
  <sheetFormatPr defaultColWidth="14.36328125" defaultRowHeight="14.5" x14ac:dyDescent="0.35"/>
  <cols>
    <col min="1" max="1" width="4.81640625" customWidth="1"/>
    <col min="2" max="2" width="20.54296875" customWidth="1"/>
    <col min="3" max="3" width="60.08984375" customWidth="1"/>
    <col min="4" max="4" width="14.6328125" customWidth="1"/>
    <col min="5" max="5" width="9.6328125" customWidth="1"/>
    <col min="6" max="6" width="9.90625" customWidth="1"/>
    <col min="7" max="7" width="10.6328125" style="69" customWidth="1"/>
    <col min="8" max="8" width="9.81640625" customWidth="1"/>
    <col min="10" max="10" width="2.54296875" customWidth="1"/>
    <col min="11" max="11" width="9.81640625" customWidth="1"/>
    <col min="12" max="12" width="7.6328125" customWidth="1"/>
    <col min="13" max="13" width="8.36328125" style="4" customWidth="1"/>
    <col min="14" max="14" width="5" style="5" customWidth="1"/>
    <col min="15" max="28" width="5" style="4" customWidth="1"/>
    <col min="29" max="29" width="2.26953125" customWidth="1"/>
    <col min="30" max="30" width="10.08984375" style="6" customWidth="1"/>
    <col min="31" max="31" width="7.6328125" style="6" customWidth="1"/>
    <col min="32" max="32" width="6.54296875" style="7" customWidth="1"/>
    <col min="33" max="33" width="2.1796875" style="6" customWidth="1"/>
    <col min="34" max="34" width="9.54296875" style="6" customWidth="1"/>
    <col min="35" max="35" width="7.81640625" style="6" customWidth="1"/>
    <col min="36" max="36" width="4.7265625" style="7" customWidth="1"/>
  </cols>
  <sheetData>
    <row r="1" spans="1:33" ht="15" thickBot="1" x14ac:dyDescent="0.4">
      <c r="A1" s="77" t="s">
        <v>0</v>
      </c>
      <c r="B1" s="78"/>
      <c r="C1" s="79">
        <v>45945</v>
      </c>
      <c r="D1" s="80"/>
      <c r="E1" s="81" t="s">
        <v>1</v>
      </c>
      <c r="F1" s="82"/>
      <c r="G1" s="1" t="s">
        <v>2</v>
      </c>
      <c r="H1" s="2"/>
      <c r="I1" s="3"/>
    </row>
    <row r="2" spans="1:33" ht="15" thickBot="1" x14ac:dyDescent="0.4">
      <c r="A2" s="83" t="s">
        <v>3</v>
      </c>
      <c r="B2" s="84"/>
      <c r="C2" s="8" t="s">
        <v>4</v>
      </c>
      <c r="D2" s="9"/>
      <c r="E2" s="85" t="s">
        <v>5</v>
      </c>
      <c r="F2" s="86"/>
      <c r="G2" s="10">
        <v>112682</v>
      </c>
      <c r="H2" s="11"/>
      <c r="I2" s="12"/>
    </row>
    <row r="3" spans="1:33" ht="15" thickBot="1" x14ac:dyDescent="0.4">
      <c r="A3" s="13"/>
      <c r="B3" s="14" t="s">
        <v>6</v>
      </c>
      <c r="C3" s="15"/>
      <c r="D3" s="14" t="s">
        <v>7</v>
      </c>
      <c r="E3" s="16" t="s">
        <v>8</v>
      </c>
      <c r="F3" s="17" t="s">
        <v>9</v>
      </c>
      <c r="G3" s="18" t="s">
        <v>10</v>
      </c>
      <c r="H3" s="14" t="s">
        <v>11</v>
      </c>
    </row>
    <row r="4" spans="1:33" ht="29.5" thickBot="1" x14ac:dyDescent="0.4">
      <c r="A4" s="19">
        <v>1</v>
      </c>
      <c r="B4" s="20">
        <v>306382</v>
      </c>
      <c r="C4" s="21" t="s">
        <v>12</v>
      </c>
      <c r="D4" s="22" t="s">
        <v>13</v>
      </c>
      <c r="E4" s="20">
        <v>10</v>
      </c>
      <c r="F4" s="23">
        <v>5</v>
      </c>
      <c r="G4" s="20">
        <v>806</v>
      </c>
      <c r="H4" s="24">
        <f>F4/G4</f>
        <v>6.2034739454094297E-3</v>
      </c>
      <c r="T4" s="25"/>
      <c r="U4" s="25"/>
      <c r="V4" s="25"/>
      <c r="W4" s="25"/>
      <c r="X4" s="25"/>
      <c r="Y4" s="25"/>
      <c r="Z4" s="25"/>
      <c r="AA4" s="25"/>
      <c r="AB4" s="25"/>
      <c r="AC4" s="26"/>
      <c r="AG4"/>
    </row>
    <row r="5" spans="1:33" ht="29.5" thickBot="1" x14ac:dyDescent="0.4">
      <c r="A5" s="19">
        <v>2</v>
      </c>
      <c r="B5" s="20">
        <v>306383</v>
      </c>
      <c r="C5" s="21" t="s">
        <v>14</v>
      </c>
      <c r="D5" s="22" t="s">
        <v>13</v>
      </c>
      <c r="E5" s="20">
        <v>10</v>
      </c>
      <c r="F5" s="23">
        <v>5</v>
      </c>
      <c r="G5" s="20">
        <v>738</v>
      </c>
      <c r="H5" s="24">
        <f t="shared" ref="H5:H7" si="0">F5/G5</f>
        <v>6.7750677506775072E-3</v>
      </c>
      <c r="T5" s="27"/>
      <c r="U5" s="27"/>
      <c r="V5" s="27"/>
      <c r="W5" s="27"/>
      <c r="X5" s="27"/>
      <c r="Y5" s="27"/>
      <c r="Z5" s="27"/>
      <c r="AA5" s="27"/>
      <c r="AB5" s="27"/>
      <c r="AC5" s="6"/>
      <c r="AG5"/>
    </row>
    <row r="6" spans="1:33" ht="29.5" thickBot="1" x14ac:dyDescent="0.4">
      <c r="A6" s="19">
        <v>4</v>
      </c>
      <c r="B6" s="20">
        <v>306384</v>
      </c>
      <c r="C6" s="21" t="s">
        <v>15</v>
      </c>
      <c r="D6" s="22" t="s">
        <v>13</v>
      </c>
      <c r="E6" s="20">
        <v>10</v>
      </c>
      <c r="F6" s="23">
        <v>7</v>
      </c>
      <c r="G6" s="20">
        <v>164</v>
      </c>
      <c r="H6" s="24">
        <f t="shared" si="0"/>
        <v>4.2682926829268296E-2</v>
      </c>
      <c r="T6" s="27"/>
      <c r="U6" s="27"/>
      <c r="V6" s="27"/>
      <c r="W6" s="27"/>
      <c r="X6" s="27"/>
      <c r="Y6" s="27"/>
      <c r="Z6" s="27"/>
      <c r="AA6" s="27"/>
      <c r="AB6" s="27"/>
      <c r="AC6" s="6"/>
      <c r="AG6"/>
    </row>
    <row r="7" spans="1:33" ht="29.5" thickBot="1" x14ac:dyDescent="0.4">
      <c r="A7" s="19">
        <v>5</v>
      </c>
      <c r="B7" s="20">
        <v>306385</v>
      </c>
      <c r="C7" s="21" t="s">
        <v>16</v>
      </c>
      <c r="D7" s="22" t="s">
        <v>13</v>
      </c>
      <c r="E7" s="20">
        <v>10</v>
      </c>
      <c r="F7" s="23">
        <v>7</v>
      </c>
      <c r="G7" s="20">
        <v>102</v>
      </c>
      <c r="H7" s="24">
        <f t="shared" si="0"/>
        <v>6.8627450980392163E-2</v>
      </c>
      <c r="T7" s="27"/>
      <c r="U7" s="27"/>
      <c r="V7" s="27"/>
      <c r="W7" s="27"/>
      <c r="X7" s="27"/>
      <c r="Y7" s="27"/>
      <c r="Z7" s="27"/>
      <c r="AA7" s="27"/>
      <c r="AB7" s="27"/>
      <c r="AC7" s="6"/>
      <c r="AG7"/>
    </row>
    <row r="8" spans="1:33" ht="15" thickBot="1" x14ac:dyDescent="0.4">
      <c r="A8" s="28"/>
      <c r="B8" s="29" t="s">
        <v>17</v>
      </c>
      <c r="C8" s="30" t="s">
        <v>18</v>
      </c>
      <c r="D8" s="21"/>
      <c r="E8" s="21"/>
      <c r="F8" s="31"/>
      <c r="G8" s="21"/>
      <c r="H8" s="21"/>
      <c r="T8" s="27"/>
      <c r="U8" s="27"/>
      <c r="V8" s="27"/>
      <c r="W8" s="27"/>
      <c r="X8" s="27"/>
      <c r="Y8" s="27"/>
      <c r="Z8" s="27"/>
      <c r="AA8" s="27"/>
      <c r="AB8" s="27"/>
      <c r="AC8" s="6"/>
      <c r="AG8"/>
    </row>
    <row r="9" spans="1:33" ht="15" thickBot="1" x14ac:dyDescent="0.4">
      <c r="A9" s="32"/>
      <c r="B9" s="29" t="s">
        <v>17</v>
      </c>
      <c r="C9" s="33" t="s">
        <v>19</v>
      </c>
      <c r="D9" s="34"/>
      <c r="E9" s="34"/>
      <c r="F9" s="15"/>
      <c r="G9" s="34"/>
      <c r="H9" s="34"/>
      <c r="T9" s="27"/>
      <c r="U9" s="27"/>
      <c r="V9" s="27"/>
      <c r="W9" s="27"/>
      <c r="X9" s="27"/>
      <c r="Y9" s="27"/>
      <c r="Z9" s="27"/>
      <c r="AA9" s="27"/>
      <c r="AB9" s="27"/>
      <c r="AC9" s="6"/>
      <c r="AG9"/>
    </row>
    <row r="10" spans="1:33" ht="15" thickBot="1" x14ac:dyDescent="0.4">
      <c r="A10" s="35"/>
      <c r="B10" s="35"/>
      <c r="C10" s="2"/>
      <c r="D10" s="35"/>
      <c r="E10" s="35"/>
      <c r="F10" s="36">
        <f>SUM(F4:F9)</f>
        <v>24</v>
      </c>
      <c r="G10" s="35"/>
      <c r="H10" s="37">
        <f>SUM(H4:H9)</f>
        <v>0.1242889195057474</v>
      </c>
      <c r="T10" s="27"/>
      <c r="U10" s="27"/>
      <c r="V10" s="27"/>
      <c r="W10" s="27"/>
      <c r="X10" s="27"/>
      <c r="Y10" s="27"/>
      <c r="Z10" s="27"/>
      <c r="AA10" s="27"/>
      <c r="AB10" s="27"/>
      <c r="AC10" s="6"/>
      <c r="AG10"/>
    </row>
    <row r="11" spans="1:33" ht="15" thickBot="1" x14ac:dyDescent="0.4">
      <c r="A11" s="77" t="s">
        <v>0</v>
      </c>
      <c r="B11" s="78"/>
      <c r="C11" s="79">
        <v>46076</v>
      </c>
      <c r="D11" s="80"/>
      <c r="E11" s="81" t="s">
        <v>1</v>
      </c>
      <c r="F11" s="82"/>
      <c r="G11" s="1" t="s">
        <v>2</v>
      </c>
      <c r="H11" s="2"/>
      <c r="I11" s="3"/>
    </row>
    <row r="12" spans="1:33" ht="15" thickBot="1" x14ac:dyDescent="0.4">
      <c r="A12" s="83" t="s">
        <v>3</v>
      </c>
      <c r="B12" s="84"/>
      <c r="C12" s="8" t="s">
        <v>20</v>
      </c>
      <c r="D12" s="9"/>
      <c r="E12" s="85" t="s">
        <v>5</v>
      </c>
      <c r="F12" s="86"/>
      <c r="G12" s="10">
        <v>112791</v>
      </c>
      <c r="H12" s="11"/>
      <c r="I12" s="12"/>
    </row>
    <row r="13" spans="1:33" ht="15" thickBot="1" x14ac:dyDescent="0.4">
      <c r="A13" s="13"/>
      <c r="B13" s="14" t="s">
        <v>6</v>
      </c>
      <c r="C13" s="15"/>
      <c r="D13" s="14" t="s">
        <v>7</v>
      </c>
      <c r="E13" s="16" t="s">
        <v>8</v>
      </c>
      <c r="F13" s="17" t="s">
        <v>9</v>
      </c>
      <c r="G13" s="18" t="s">
        <v>10</v>
      </c>
      <c r="H13" s="14" t="s">
        <v>11</v>
      </c>
    </row>
    <row r="14" spans="1:33" ht="15" thickBot="1" x14ac:dyDescent="0.4">
      <c r="A14" s="38"/>
      <c r="B14" s="21"/>
      <c r="C14" s="21" t="s">
        <v>21</v>
      </c>
      <c r="D14" s="21"/>
      <c r="E14" s="21"/>
      <c r="F14" s="31"/>
      <c r="G14" s="21"/>
      <c r="H14" s="21"/>
    </row>
    <row r="15" spans="1:33" ht="15" thickBot="1" x14ac:dyDescent="0.4">
      <c r="A15" s="19">
        <v>1</v>
      </c>
      <c r="B15" s="20">
        <v>304703</v>
      </c>
      <c r="C15" s="21" t="s">
        <v>22</v>
      </c>
      <c r="D15" s="20" t="s">
        <v>23</v>
      </c>
      <c r="E15" s="20">
        <v>738</v>
      </c>
      <c r="F15" s="23">
        <v>738</v>
      </c>
      <c r="G15" s="20">
        <v>8211</v>
      </c>
      <c r="H15" s="24">
        <f t="shared" ref="H15" si="1">F15/G15</f>
        <v>8.9879430032882721E-2</v>
      </c>
    </row>
    <row r="16" spans="1:33" ht="15" thickBot="1" x14ac:dyDescent="0.4">
      <c r="A16" s="38"/>
      <c r="B16" s="39" t="s">
        <v>17</v>
      </c>
      <c r="C16" s="30" t="s">
        <v>18</v>
      </c>
      <c r="D16" s="21"/>
      <c r="E16" s="21"/>
      <c r="F16" s="31"/>
      <c r="G16" s="21"/>
      <c r="H16" s="21"/>
    </row>
    <row r="17" spans="1:9" ht="15" thickBot="1" x14ac:dyDescent="0.4">
      <c r="A17" s="38"/>
      <c r="B17" s="39" t="s">
        <v>17</v>
      </c>
      <c r="C17" s="40" t="s">
        <v>24</v>
      </c>
      <c r="D17" s="21"/>
      <c r="E17" s="21"/>
      <c r="F17" s="31"/>
      <c r="G17" s="21"/>
      <c r="H17" s="21"/>
    </row>
    <row r="18" spans="1:9" ht="15" thickBot="1" x14ac:dyDescent="0.4">
      <c r="A18" s="38"/>
      <c r="B18" s="39" t="s">
        <v>17</v>
      </c>
      <c r="C18" s="30" t="s">
        <v>25</v>
      </c>
      <c r="D18" s="21"/>
      <c r="E18" s="21"/>
      <c r="F18" s="31"/>
      <c r="G18" s="21"/>
      <c r="H18" s="21"/>
    </row>
    <row r="19" spans="1:9" ht="15" thickBot="1" x14ac:dyDescent="0.4">
      <c r="A19" s="32"/>
      <c r="B19" s="29" t="s">
        <v>17</v>
      </c>
      <c r="C19" s="33" t="s">
        <v>26</v>
      </c>
      <c r="D19" s="34"/>
      <c r="E19" s="34"/>
      <c r="F19" s="15"/>
      <c r="G19" s="34"/>
      <c r="H19" s="34"/>
    </row>
    <row r="20" spans="1:9" ht="15" thickBot="1" x14ac:dyDescent="0.4">
      <c r="A20" s="35"/>
      <c r="B20" s="35"/>
      <c r="C20" s="2"/>
      <c r="D20" s="35"/>
      <c r="E20" s="35"/>
      <c r="F20" s="36">
        <f>SUM(F14:F19)</f>
        <v>738</v>
      </c>
      <c r="G20" s="35"/>
      <c r="H20" s="37">
        <f>SUM(H14:H19)</f>
        <v>8.9879430032882721E-2</v>
      </c>
    </row>
    <row r="21" spans="1:9" ht="15" thickBot="1" x14ac:dyDescent="0.4">
      <c r="A21" s="77" t="s">
        <v>0</v>
      </c>
      <c r="B21" s="78"/>
      <c r="C21" s="79">
        <v>46108</v>
      </c>
      <c r="D21" s="80"/>
      <c r="E21" s="81" t="s">
        <v>1</v>
      </c>
      <c r="F21" s="82"/>
      <c r="G21" s="41" t="s">
        <v>35</v>
      </c>
      <c r="H21" s="2"/>
      <c r="I21" s="3"/>
    </row>
    <row r="22" spans="1:9" ht="15" thickBot="1" x14ac:dyDescent="0.4">
      <c r="A22" s="83" t="s">
        <v>3</v>
      </c>
      <c r="B22" s="84"/>
      <c r="C22" s="8" t="s">
        <v>36</v>
      </c>
      <c r="D22" s="9"/>
      <c r="E22" s="85" t="s">
        <v>5</v>
      </c>
      <c r="F22" s="86"/>
      <c r="G22" s="42" t="s">
        <v>37</v>
      </c>
      <c r="H22" s="11"/>
      <c r="I22" s="12"/>
    </row>
    <row r="23" spans="1:9" ht="15" thickBot="1" x14ac:dyDescent="0.4">
      <c r="A23" s="13"/>
      <c r="B23" s="14" t="s">
        <v>6</v>
      </c>
      <c r="C23" s="15"/>
      <c r="D23" s="14" t="s">
        <v>7</v>
      </c>
      <c r="E23" s="16" t="s">
        <v>8</v>
      </c>
      <c r="F23" s="17" t="s">
        <v>9</v>
      </c>
      <c r="G23" s="18" t="s">
        <v>10</v>
      </c>
      <c r="H23" s="14" t="s">
        <v>11</v>
      </c>
    </row>
    <row r="24" spans="1:9" ht="15" thickBot="1" x14ac:dyDescent="0.4">
      <c r="A24" s="19">
        <v>1</v>
      </c>
      <c r="B24" s="20">
        <v>306398</v>
      </c>
      <c r="C24" s="21" t="s">
        <v>38</v>
      </c>
      <c r="D24" s="20" t="s">
        <v>28</v>
      </c>
      <c r="E24" s="20">
        <v>120</v>
      </c>
      <c r="F24" s="23">
        <v>120</v>
      </c>
      <c r="G24" s="20">
        <v>6720</v>
      </c>
      <c r="H24" s="24">
        <f t="shared" ref="H24:H30" si="2">F24/G24</f>
        <v>1.7857142857142856E-2</v>
      </c>
    </row>
    <row r="25" spans="1:9" ht="15" thickBot="1" x14ac:dyDescent="0.4">
      <c r="A25" s="19">
        <v>2</v>
      </c>
      <c r="B25" s="20">
        <v>306399</v>
      </c>
      <c r="C25" s="21" t="s">
        <v>39</v>
      </c>
      <c r="D25" s="20" t="s">
        <v>28</v>
      </c>
      <c r="E25" s="20">
        <v>80</v>
      </c>
      <c r="F25" s="23">
        <v>80</v>
      </c>
      <c r="G25" s="20">
        <v>3192</v>
      </c>
      <c r="H25" s="24">
        <f t="shared" si="2"/>
        <v>2.5062656641604009E-2</v>
      </c>
    </row>
    <row r="26" spans="1:9" ht="15" thickBot="1" x14ac:dyDescent="0.4">
      <c r="A26" s="19">
        <v>3</v>
      </c>
      <c r="B26" s="20">
        <v>306400</v>
      </c>
      <c r="C26" s="21" t="s">
        <v>40</v>
      </c>
      <c r="D26" s="20" t="s">
        <v>28</v>
      </c>
      <c r="E26" s="20">
        <v>25</v>
      </c>
      <c r="F26" s="23">
        <v>25</v>
      </c>
      <c r="G26" s="20">
        <v>880</v>
      </c>
      <c r="H26" s="24">
        <f t="shared" si="2"/>
        <v>2.8409090909090908E-2</v>
      </c>
    </row>
    <row r="27" spans="1:9" ht="15" thickBot="1" x14ac:dyDescent="0.4">
      <c r="A27" s="19">
        <v>4</v>
      </c>
      <c r="B27" s="20">
        <v>901325</v>
      </c>
      <c r="C27" s="21" t="s">
        <v>41</v>
      </c>
      <c r="D27" s="20" t="s">
        <v>28</v>
      </c>
      <c r="E27" s="20">
        <v>50</v>
      </c>
      <c r="F27" s="23">
        <v>50</v>
      </c>
      <c r="G27" s="20">
        <v>2205</v>
      </c>
      <c r="H27" s="24">
        <f t="shared" si="2"/>
        <v>2.2675736961451247E-2</v>
      </c>
    </row>
    <row r="28" spans="1:9" ht="15" thickBot="1" x14ac:dyDescent="0.4">
      <c r="A28" s="19">
        <v>5</v>
      </c>
      <c r="B28" s="20">
        <v>901326</v>
      </c>
      <c r="C28" s="21" t="s">
        <v>42</v>
      </c>
      <c r="D28" s="20" t="s">
        <v>28</v>
      </c>
      <c r="E28" s="20">
        <v>50</v>
      </c>
      <c r="F28" s="23">
        <v>50</v>
      </c>
      <c r="G28" s="20">
        <v>1800</v>
      </c>
      <c r="H28" s="24">
        <f t="shared" si="2"/>
        <v>2.7777777777777776E-2</v>
      </c>
    </row>
    <row r="29" spans="1:9" ht="15" thickBot="1" x14ac:dyDescent="0.4">
      <c r="A29" s="19">
        <v>6</v>
      </c>
      <c r="B29" s="20">
        <v>901328</v>
      </c>
      <c r="C29" s="21" t="s">
        <v>43</v>
      </c>
      <c r="D29" s="20" t="s">
        <v>28</v>
      </c>
      <c r="E29" s="20">
        <v>50</v>
      </c>
      <c r="F29" s="23">
        <v>50</v>
      </c>
      <c r="G29" s="20">
        <v>1170</v>
      </c>
      <c r="H29" s="24">
        <f t="shared" si="2"/>
        <v>4.2735042735042736E-2</v>
      </c>
    </row>
    <row r="30" spans="1:9" ht="15" thickBot="1" x14ac:dyDescent="0.4">
      <c r="A30" s="19">
        <v>7</v>
      </c>
      <c r="B30" s="20">
        <v>901329</v>
      </c>
      <c r="C30" s="21" t="s">
        <v>44</v>
      </c>
      <c r="D30" s="20" t="s">
        <v>28</v>
      </c>
      <c r="E30" s="20">
        <v>10</v>
      </c>
      <c r="F30" s="23">
        <v>10</v>
      </c>
      <c r="G30" s="20">
        <v>528</v>
      </c>
      <c r="H30" s="24">
        <f t="shared" si="2"/>
        <v>1.893939393939394E-2</v>
      </c>
    </row>
    <row r="31" spans="1:9" ht="15" thickBot="1" x14ac:dyDescent="0.4">
      <c r="A31" s="38"/>
      <c r="B31" s="39" t="s">
        <v>17</v>
      </c>
      <c r="C31" s="1" t="s">
        <v>45</v>
      </c>
      <c r="D31" s="21"/>
      <c r="E31" s="21"/>
      <c r="F31" s="31"/>
      <c r="G31" s="21"/>
      <c r="H31" s="21"/>
    </row>
    <row r="32" spans="1:9" ht="15" thickBot="1" x14ac:dyDescent="0.4">
      <c r="A32" s="32"/>
      <c r="B32" s="29" t="s">
        <v>17</v>
      </c>
      <c r="C32" s="33" t="s">
        <v>19</v>
      </c>
      <c r="D32" s="34"/>
      <c r="E32" s="34"/>
      <c r="F32" s="15"/>
      <c r="G32" s="34"/>
      <c r="H32" s="34"/>
    </row>
    <row r="33" spans="1:9" ht="15" thickBot="1" x14ac:dyDescent="0.4">
      <c r="A33" s="35"/>
      <c r="B33" s="35"/>
      <c r="C33" s="43"/>
      <c r="D33" s="35"/>
      <c r="E33" s="35"/>
      <c r="F33" s="44">
        <f>SUM(F24:F32)</f>
        <v>385</v>
      </c>
      <c r="G33" s="35"/>
      <c r="H33" s="45">
        <f>SUM(H24:H32)</f>
        <v>0.18345684182150349</v>
      </c>
    </row>
    <row r="34" spans="1:9" ht="15" thickBot="1" x14ac:dyDescent="0.4">
      <c r="A34" s="77" t="s">
        <v>0</v>
      </c>
      <c r="B34" s="78"/>
      <c r="C34" s="79">
        <v>46108</v>
      </c>
      <c r="D34" s="80"/>
      <c r="E34" s="81" t="s">
        <v>1</v>
      </c>
      <c r="F34" s="82"/>
      <c r="G34" s="41" t="s">
        <v>35</v>
      </c>
      <c r="H34" s="2"/>
      <c r="I34" s="3"/>
    </row>
    <row r="35" spans="1:9" ht="15" thickBot="1" x14ac:dyDescent="0.4">
      <c r="A35" s="83" t="s">
        <v>3</v>
      </c>
      <c r="B35" s="84"/>
      <c r="C35" s="8" t="s">
        <v>46</v>
      </c>
      <c r="D35" s="9"/>
      <c r="E35" s="85" t="s">
        <v>5</v>
      </c>
      <c r="F35" s="86"/>
      <c r="G35" s="42" t="s">
        <v>37</v>
      </c>
      <c r="H35" s="11"/>
      <c r="I35" s="12"/>
    </row>
    <row r="36" spans="1:9" ht="15" thickBot="1" x14ac:dyDescent="0.4">
      <c r="A36" s="13"/>
      <c r="B36" s="14" t="s">
        <v>6</v>
      </c>
      <c r="C36" s="15"/>
      <c r="D36" s="14" t="s">
        <v>7</v>
      </c>
      <c r="E36" s="16" t="s">
        <v>8</v>
      </c>
      <c r="F36" s="17" t="s">
        <v>9</v>
      </c>
      <c r="G36" s="18" t="s">
        <v>10</v>
      </c>
      <c r="H36" s="14" t="s">
        <v>11</v>
      </c>
    </row>
    <row r="37" spans="1:9" ht="29.5" thickBot="1" x14ac:dyDescent="0.4">
      <c r="A37" s="19">
        <v>1</v>
      </c>
      <c r="B37" s="20">
        <v>305381</v>
      </c>
      <c r="C37" s="21" t="s">
        <v>47</v>
      </c>
      <c r="D37" s="22" t="s">
        <v>23</v>
      </c>
      <c r="E37" s="20">
        <v>20</v>
      </c>
      <c r="F37" s="23">
        <v>20</v>
      </c>
      <c r="G37" s="20">
        <v>566</v>
      </c>
      <c r="H37" s="24">
        <f t="shared" ref="H37:H39" si="3">F37/G37</f>
        <v>3.5335689045936397E-2</v>
      </c>
    </row>
    <row r="38" spans="1:9" ht="29.5" thickBot="1" x14ac:dyDescent="0.4">
      <c r="A38" s="19">
        <v>2</v>
      </c>
      <c r="B38" s="20">
        <v>306384</v>
      </c>
      <c r="C38" s="21" t="s">
        <v>48</v>
      </c>
      <c r="D38" s="22" t="s">
        <v>13</v>
      </c>
      <c r="E38" s="20">
        <v>4</v>
      </c>
      <c r="F38" s="23">
        <v>4</v>
      </c>
      <c r="G38" s="20">
        <v>164</v>
      </c>
      <c r="H38" s="24">
        <f t="shared" si="3"/>
        <v>2.4390243902439025E-2</v>
      </c>
    </row>
    <row r="39" spans="1:9" ht="29.5" thickBot="1" x14ac:dyDescent="0.4">
      <c r="A39" s="19">
        <v>3</v>
      </c>
      <c r="B39" s="20">
        <v>306385</v>
      </c>
      <c r="C39" s="21" t="s">
        <v>49</v>
      </c>
      <c r="D39" s="22" t="s">
        <v>13</v>
      </c>
      <c r="E39" s="20">
        <v>2</v>
      </c>
      <c r="F39" s="23">
        <v>2</v>
      </c>
      <c r="G39" s="20">
        <v>102</v>
      </c>
      <c r="H39" s="24">
        <f t="shared" si="3"/>
        <v>1.9607843137254902E-2</v>
      </c>
    </row>
    <row r="40" spans="1:9" ht="15" thickBot="1" x14ac:dyDescent="0.4">
      <c r="A40" s="38"/>
      <c r="B40" s="39" t="s">
        <v>17</v>
      </c>
      <c r="C40" s="1" t="s">
        <v>45</v>
      </c>
      <c r="D40" s="21"/>
      <c r="E40" s="21"/>
      <c r="F40" s="31"/>
      <c r="G40" s="21"/>
      <c r="H40" s="21"/>
    </row>
    <row r="41" spans="1:9" ht="15" thickBot="1" x14ac:dyDescent="0.4">
      <c r="A41" s="32"/>
      <c r="B41" s="29" t="s">
        <v>17</v>
      </c>
      <c r="C41" s="33" t="s">
        <v>19</v>
      </c>
      <c r="D41" s="34"/>
      <c r="E41" s="34"/>
      <c r="F41" s="15"/>
      <c r="G41" s="34"/>
      <c r="H41" s="34"/>
    </row>
    <row r="42" spans="1:9" ht="15" thickBot="1" x14ac:dyDescent="0.4">
      <c r="A42" s="35"/>
      <c r="B42" s="35"/>
      <c r="C42" s="43"/>
      <c r="D42" s="35"/>
      <c r="E42" s="35"/>
      <c r="F42" s="44">
        <f>SUM(F37:F41)</f>
        <v>26</v>
      </c>
      <c r="G42" s="35"/>
      <c r="H42" s="45">
        <f>SUM(H37:H41)</f>
        <v>7.9333776085630331E-2</v>
      </c>
    </row>
    <row r="43" spans="1:9" ht="15" thickBot="1" x14ac:dyDescent="0.4">
      <c r="A43" s="77" t="s">
        <v>0</v>
      </c>
      <c r="B43" s="78"/>
      <c r="C43" s="79">
        <v>46108</v>
      </c>
      <c r="D43" s="80"/>
      <c r="E43" s="81" t="s">
        <v>1</v>
      </c>
      <c r="F43" s="82"/>
      <c r="G43" s="41" t="s">
        <v>35</v>
      </c>
      <c r="H43" s="2"/>
      <c r="I43" s="3"/>
    </row>
    <row r="44" spans="1:9" ht="15" thickBot="1" x14ac:dyDescent="0.4">
      <c r="A44" s="83" t="s">
        <v>3</v>
      </c>
      <c r="B44" s="84"/>
      <c r="C44" s="8" t="s">
        <v>50</v>
      </c>
      <c r="D44" s="9"/>
      <c r="E44" s="85" t="s">
        <v>5</v>
      </c>
      <c r="F44" s="86"/>
      <c r="G44" s="42" t="s">
        <v>37</v>
      </c>
      <c r="H44" s="11"/>
      <c r="I44" s="12"/>
    </row>
    <row r="45" spans="1:9" ht="15" thickBot="1" x14ac:dyDescent="0.4">
      <c r="A45" s="13"/>
      <c r="B45" s="14" t="s">
        <v>6</v>
      </c>
      <c r="C45" s="15"/>
      <c r="D45" s="14" t="s">
        <v>7</v>
      </c>
      <c r="E45" s="16" t="s">
        <v>8</v>
      </c>
      <c r="F45" s="17" t="s">
        <v>9</v>
      </c>
      <c r="G45" s="18" t="s">
        <v>10</v>
      </c>
      <c r="H45" s="14" t="s">
        <v>11</v>
      </c>
    </row>
    <row r="46" spans="1:9" ht="15" thickBot="1" x14ac:dyDescent="0.4">
      <c r="A46" s="19">
        <v>1</v>
      </c>
      <c r="B46" s="20">
        <v>305535</v>
      </c>
      <c r="C46" s="21" t="s">
        <v>51</v>
      </c>
      <c r="D46" s="20" t="s">
        <v>52</v>
      </c>
      <c r="E46" s="20">
        <v>12</v>
      </c>
      <c r="F46" s="23">
        <v>12</v>
      </c>
      <c r="G46" s="20">
        <v>642</v>
      </c>
      <c r="H46" s="24">
        <f t="shared" ref="H46" si="4">F46/G46</f>
        <v>1.8691588785046728E-2</v>
      </c>
    </row>
    <row r="47" spans="1:9" ht="15" thickBot="1" x14ac:dyDescent="0.4">
      <c r="A47" s="38"/>
      <c r="B47" s="39" t="s">
        <v>17</v>
      </c>
      <c r="C47" s="1" t="s">
        <v>45</v>
      </c>
      <c r="D47" s="21"/>
      <c r="E47" s="21"/>
      <c r="F47" s="31"/>
      <c r="G47" s="21"/>
      <c r="H47" s="21"/>
    </row>
    <row r="48" spans="1:9" ht="15" thickBot="1" x14ac:dyDescent="0.4">
      <c r="A48" s="32"/>
      <c r="B48" s="29" t="s">
        <v>17</v>
      </c>
      <c r="C48" s="33" t="s">
        <v>19</v>
      </c>
      <c r="D48" s="34"/>
      <c r="E48" s="34"/>
      <c r="F48" s="15"/>
      <c r="G48" s="34"/>
      <c r="H48" s="34"/>
    </row>
    <row r="49" spans="1:9" ht="15" thickBot="1" x14ac:dyDescent="0.4">
      <c r="A49" s="35"/>
      <c r="B49" s="35"/>
      <c r="C49" s="43"/>
      <c r="D49" s="35"/>
      <c r="E49" s="35"/>
      <c r="F49" s="44">
        <f>SUM(F46:F48)</f>
        <v>12</v>
      </c>
      <c r="G49" s="35"/>
      <c r="H49" s="45">
        <f>SUM(H46:H48)</f>
        <v>1.8691588785046728E-2</v>
      </c>
    </row>
    <row r="50" spans="1:9" ht="15" thickBot="1" x14ac:dyDescent="0.4">
      <c r="A50" s="77" t="s">
        <v>0</v>
      </c>
      <c r="B50" s="78"/>
      <c r="C50" s="79">
        <v>46112</v>
      </c>
      <c r="D50" s="80"/>
      <c r="E50" s="81" t="s">
        <v>1</v>
      </c>
      <c r="F50" s="82"/>
      <c r="G50" s="41" t="s">
        <v>2</v>
      </c>
      <c r="H50" s="2"/>
      <c r="I50" s="3"/>
    </row>
    <row r="51" spans="1:9" ht="15" thickBot="1" x14ac:dyDescent="0.4">
      <c r="A51" s="83" t="s">
        <v>3</v>
      </c>
      <c r="B51" s="84"/>
      <c r="C51" s="8" t="s">
        <v>53</v>
      </c>
      <c r="D51" s="9"/>
      <c r="E51" s="85" t="s">
        <v>5</v>
      </c>
      <c r="F51" s="86"/>
      <c r="G51" s="10">
        <v>112998</v>
      </c>
      <c r="H51" s="11"/>
      <c r="I51" s="12"/>
    </row>
    <row r="52" spans="1:9" ht="15" thickBot="1" x14ac:dyDescent="0.4">
      <c r="A52" s="13"/>
      <c r="B52" s="14" t="s">
        <v>6</v>
      </c>
      <c r="C52" s="15"/>
      <c r="D52" s="14" t="s">
        <v>7</v>
      </c>
      <c r="E52" s="16" t="s">
        <v>8</v>
      </c>
      <c r="F52" s="17" t="s">
        <v>9</v>
      </c>
      <c r="G52" s="18" t="s">
        <v>10</v>
      </c>
      <c r="H52" s="14" t="s">
        <v>11</v>
      </c>
    </row>
    <row r="53" spans="1:9" ht="15" thickBot="1" x14ac:dyDescent="0.4">
      <c r="A53" s="19">
        <v>1</v>
      </c>
      <c r="B53" s="20">
        <v>304810</v>
      </c>
      <c r="C53" s="21" t="s">
        <v>54</v>
      </c>
      <c r="D53" s="46" t="s">
        <v>55</v>
      </c>
      <c r="E53" s="20">
        <v>246</v>
      </c>
      <c r="F53" s="23">
        <v>246</v>
      </c>
      <c r="G53" s="20">
        <v>9840</v>
      </c>
      <c r="H53" s="24">
        <f t="shared" ref="H53" si="5">F53/G53</f>
        <v>2.5000000000000001E-2</v>
      </c>
    </row>
    <row r="54" spans="1:9" ht="15" thickBot="1" x14ac:dyDescent="0.4">
      <c r="A54" s="38"/>
      <c r="B54" s="39" t="s">
        <v>17</v>
      </c>
      <c r="C54" s="30" t="s">
        <v>18</v>
      </c>
      <c r="D54" s="21"/>
      <c r="E54" s="21"/>
      <c r="F54" s="31"/>
      <c r="G54" s="21"/>
      <c r="H54" s="21"/>
    </row>
    <row r="55" spans="1:9" ht="15" thickBot="1" x14ac:dyDescent="0.4">
      <c r="A55" s="38"/>
      <c r="B55" s="39" t="s">
        <v>17</v>
      </c>
      <c r="C55" s="30" t="s">
        <v>56</v>
      </c>
      <c r="D55" s="21"/>
      <c r="E55" s="21"/>
      <c r="F55" s="31"/>
      <c r="G55" s="21"/>
      <c r="H55" s="21"/>
    </row>
    <row r="56" spans="1:9" ht="15" thickBot="1" x14ac:dyDescent="0.4">
      <c r="A56" s="32"/>
      <c r="B56" s="29" t="s">
        <v>17</v>
      </c>
      <c r="C56" s="33" t="s">
        <v>19</v>
      </c>
      <c r="D56" s="34"/>
      <c r="E56" s="34"/>
      <c r="F56" s="15"/>
      <c r="G56" s="34"/>
      <c r="H56" s="34"/>
    </row>
    <row r="57" spans="1:9" ht="15" thickBot="1" x14ac:dyDescent="0.4">
      <c r="A57" s="35"/>
      <c r="B57" s="35"/>
      <c r="C57" s="43"/>
      <c r="D57" s="35"/>
      <c r="E57" s="35"/>
      <c r="F57" s="44">
        <f>SUM(F53:F56)</f>
        <v>246</v>
      </c>
      <c r="G57" s="35"/>
      <c r="H57" s="45">
        <f>SUM(H53:H56)</f>
        <v>2.5000000000000001E-2</v>
      </c>
    </row>
    <row r="58" spans="1:9" ht="15" thickBot="1" x14ac:dyDescent="0.4">
      <c r="A58" s="77" t="s">
        <v>0</v>
      </c>
      <c r="B58" s="78"/>
      <c r="C58" s="79">
        <v>46112</v>
      </c>
      <c r="D58" s="80"/>
      <c r="E58" s="81" t="s">
        <v>1</v>
      </c>
      <c r="F58" s="82"/>
      <c r="G58" s="41" t="s">
        <v>2</v>
      </c>
      <c r="H58" s="2"/>
      <c r="I58" s="3"/>
    </row>
    <row r="59" spans="1:9" ht="15" thickBot="1" x14ac:dyDescent="0.4">
      <c r="A59" s="83" t="s">
        <v>3</v>
      </c>
      <c r="B59" s="84"/>
      <c r="C59" s="8" t="s">
        <v>57</v>
      </c>
      <c r="D59" s="9"/>
      <c r="E59" s="85" t="s">
        <v>5</v>
      </c>
      <c r="F59" s="86"/>
      <c r="G59" s="10">
        <v>112998</v>
      </c>
      <c r="H59" s="11"/>
      <c r="I59" s="12"/>
    </row>
    <row r="60" spans="1:9" ht="15" thickBot="1" x14ac:dyDescent="0.4">
      <c r="A60" s="13"/>
      <c r="B60" s="14" t="s">
        <v>6</v>
      </c>
      <c r="C60" s="15"/>
      <c r="D60" s="14" t="s">
        <v>7</v>
      </c>
      <c r="E60" s="16" t="s">
        <v>8</v>
      </c>
      <c r="F60" s="17" t="s">
        <v>9</v>
      </c>
      <c r="G60" s="18" t="s">
        <v>10</v>
      </c>
      <c r="H60" s="14" t="s">
        <v>11</v>
      </c>
    </row>
    <row r="61" spans="1:9" ht="15" thickBot="1" x14ac:dyDescent="0.4">
      <c r="A61" s="19">
        <v>1</v>
      </c>
      <c r="B61" s="20">
        <v>304810</v>
      </c>
      <c r="C61" s="21" t="s">
        <v>54</v>
      </c>
      <c r="D61" s="46" t="s">
        <v>55</v>
      </c>
      <c r="E61" s="20">
        <v>754</v>
      </c>
      <c r="F61" s="23">
        <v>754</v>
      </c>
      <c r="G61" s="20">
        <v>9840</v>
      </c>
      <c r="H61" s="24">
        <f t="shared" ref="H61" si="6">F61/G61</f>
        <v>7.6626016260162605E-2</v>
      </c>
    </row>
    <row r="62" spans="1:9" ht="15" thickBot="1" x14ac:dyDescent="0.4">
      <c r="A62" s="38"/>
      <c r="B62" s="39" t="s">
        <v>17</v>
      </c>
      <c r="C62" s="30" t="s">
        <v>18</v>
      </c>
      <c r="D62" s="21"/>
      <c r="E62" s="21"/>
      <c r="F62" s="31"/>
      <c r="G62" s="21"/>
      <c r="H62" s="21"/>
    </row>
    <row r="63" spans="1:9" ht="15" thickBot="1" x14ac:dyDescent="0.4">
      <c r="A63" s="32"/>
      <c r="B63" s="29" t="s">
        <v>17</v>
      </c>
      <c r="C63" s="33" t="s">
        <v>19</v>
      </c>
      <c r="D63" s="34"/>
      <c r="E63" s="34"/>
      <c r="F63" s="15"/>
      <c r="G63" s="34"/>
      <c r="H63" s="34"/>
    </row>
    <row r="64" spans="1:9" ht="15" thickBot="1" x14ac:dyDescent="0.4">
      <c r="A64" s="35"/>
      <c r="B64" s="35"/>
      <c r="C64" s="43"/>
      <c r="D64" s="35"/>
      <c r="E64" s="35"/>
      <c r="F64" s="44">
        <f>SUM(F61:F63)</f>
        <v>754</v>
      </c>
      <c r="G64" s="35"/>
      <c r="H64" s="45">
        <f>SUM(H61:H63)</f>
        <v>7.6626016260162605E-2</v>
      </c>
    </row>
    <row r="65" spans="1:9" ht="15" thickBot="1" x14ac:dyDescent="0.4">
      <c r="A65" s="77" t="s">
        <v>0</v>
      </c>
      <c r="B65" s="78"/>
      <c r="C65" s="79">
        <v>46119</v>
      </c>
      <c r="D65" s="80"/>
      <c r="E65" s="81" t="s">
        <v>1</v>
      </c>
      <c r="F65" s="82"/>
      <c r="G65" s="41" t="s">
        <v>58</v>
      </c>
      <c r="H65" s="2"/>
      <c r="I65" s="3"/>
    </row>
    <row r="66" spans="1:9" ht="15" thickBot="1" x14ac:dyDescent="0.4">
      <c r="A66" s="83" t="s">
        <v>3</v>
      </c>
      <c r="B66" s="84"/>
      <c r="C66" s="8" t="s">
        <v>59</v>
      </c>
      <c r="D66" s="9"/>
      <c r="E66" s="85" t="s">
        <v>5</v>
      </c>
      <c r="F66" s="86"/>
      <c r="G66" s="10">
        <v>113007</v>
      </c>
      <c r="H66" s="11"/>
      <c r="I66" s="12"/>
    </row>
    <row r="67" spans="1:9" ht="15" thickBot="1" x14ac:dyDescent="0.4">
      <c r="A67" s="13"/>
      <c r="B67" s="14" t="s">
        <v>6</v>
      </c>
      <c r="C67" s="15"/>
      <c r="D67" s="14" t="s">
        <v>7</v>
      </c>
      <c r="E67" s="16" t="s">
        <v>8</v>
      </c>
      <c r="F67" s="17" t="s">
        <v>9</v>
      </c>
      <c r="G67" s="18" t="s">
        <v>10</v>
      </c>
      <c r="H67" s="14" t="s">
        <v>11</v>
      </c>
    </row>
    <row r="68" spans="1:9" ht="15" thickBot="1" x14ac:dyDescent="0.4">
      <c r="A68" s="19">
        <v>1</v>
      </c>
      <c r="B68" s="20">
        <v>300940</v>
      </c>
      <c r="C68" s="21" t="s">
        <v>29</v>
      </c>
      <c r="D68" s="20" t="s">
        <v>23</v>
      </c>
      <c r="E68" s="20">
        <v>2000</v>
      </c>
      <c r="F68" s="23">
        <v>500</v>
      </c>
      <c r="G68" s="20">
        <v>19236</v>
      </c>
      <c r="H68" s="24">
        <f t="shared" ref="H68:H73" si="7">F68/G68</f>
        <v>2.5992929923060928E-2</v>
      </c>
    </row>
    <row r="69" spans="1:9" ht="15" thickBot="1" x14ac:dyDescent="0.4">
      <c r="A69" s="19">
        <v>4</v>
      </c>
      <c r="B69" s="20">
        <v>301110</v>
      </c>
      <c r="C69" s="21" t="s">
        <v>32</v>
      </c>
      <c r="D69" s="20" t="s">
        <v>23</v>
      </c>
      <c r="E69" s="20">
        <v>1500</v>
      </c>
      <c r="F69" s="23">
        <v>1500</v>
      </c>
      <c r="G69" s="20">
        <v>54360</v>
      </c>
      <c r="H69" s="24">
        <f t="shared" si="7"/>
        <v>2.759381898454746E-2</v>
      </c>
    </row>
    <row r="70" spans="1:9" ht="15" thickBot="1" x14ac:dyDescent="0.4">
      <c r="A70" s="19">
        <v>5</v>
      </c>
      <c r="B70" s="20">
        <v>301111</v>
      </c>
      <c r="C70" s="21" t="s">
        <v>33</v>
      </c>
      <c r="D70" s="20" t="s">
        <v>23</v>
      </c>
      <c r="E70" s="20">
        <v>1500</v>
      </c>
      <c r="F70" s="23">
        <v>1500</v>
      </c>
      <c r="G70" s="20">
        <v>29808</v>
      </c>
      <c r="H70" s="24">
        <f t="shared" si="7"/>
        <v>5.032206119162641E-2</v>
      </c>
    </row>
    <row r="71" spans="1:9" ht="15" thickBot="1" x14ac:dyDescent="0.4">
      <c r="A71" s="19">
        <v>6</v>
      </c>
      <c r="B71" s="20">
        <v>301112</v>
      </c>
      <c r="C71" s="21" t="s">
        <v>60</v>
      </c>
      <c r="D71" s="20" t="s">
        <v>23</v>
      </c>
      <c r="E71" s="20">
        <v>1500</v>
      </c>
      <c r="F71" s="23">
        <v>1500</v>
      </c>
      <c r="G71" s="20">
        <v>12432</v>
      </c>
      <c r="H71" s="24">
        <f t="shared" si="7"/>
        <v>0.12065637065637065</v>
      </c>
    </row>
    <row r="72" spans="1:9" ht="15" thickBot="1" x14ac:dyDescent="0.4">
      <c r="A72" s="19">
        <v>11</v>
      </c>
      <c r="B72" s="20">
        <v>304900</v>
      </c>
      <c r="C72" s="21" t="s">
        <v>61</v>
      </c>
      <c r="D72" s="20" t="s">
        <v>23</v>
      </c>
      <c r="E72" s="20">
        <v>1000</v>
      </c>
      <c r="F72" s="23">
        <v>1000</v>
      </c>
      <c r="G72" s="20">
        <v>41112</v>
      </c>
      <c r="H72" s="24">
        <f t="shared" si="7"/>
        <v>2.4323798404358825E-2</v>
      </c>
    </row>
    <row r="73" spans="1:9" ht="15" thickBot="1" x14ac:dyDescent="0.4">
      <c r="A73" s="19">
        <v>12</v>
      </c>
      <c r="B73" s="20">
        <v>301131</v>
      </c>
      <c r="C73" s="21" t="s">
        <v>34</v>
      </c>
      <c r="D73" s="20" t="s">
        <v>23</v>
      </c>
      <c r="E73" s="20">
        <v>500</v>
      </c>
      <c r="F73" s="23">
        <v>500</v>
      </c>
      <c r="G73" s="20">
        <v>6432</v>
      </c>
      <c r="H73" s="24">
        <f t="shared" si="7"/>
        <v>7.7736318407960192E-2</v>
      </c>
    </row>
    <row r="74" spans="1:9" ht="15" thickBot="1" x14ac:dyDescent="0.4">
      <c r="A74" s="38"/>
      <c r="B74" s="39" t="s">
        <v>17</v>
      </c>
      <c r="C74" s="30" t="s">
        <v>18</v>
      </c>
      <c r="D74" s="21"/>
      <c r="E74" s="21"/>
      <c r="F74" s="31"/>
      <c r="G74" s="21"/>
      <c r="H74" s="21"/>
    </row>
    <row r="75" spans="1:9" ht="15" thickBot="1" x14ac:dyDescent="0.4">
      <c r="A75" s="32"/>
      <c r="B75" s="29" t="s">
        <v>17</v>
      </c>
      <c r="C75" s="33" t="s">
        <v>19</v>
      </c>
      <c r="D75" s="34"/>
      <c r="E75" s="34"/>
      <c r="F75" s="15"/>
      <c r="G75" s="34"/>
      <c r="H75" s="34"/>
    </row>
    <row r="76" spans="1:9" ht="15" thickBot="1" x14ac:dyDescent="0.4">
      <c r="A76" s="35"/>
      <c r="B76" s="35"/>
      <c r="C76" s="43"/>
      <c r="D76" s="35"/>
      <c r="E76" s="35"/>
      <c r="F76" s="44">
        <f>SUM(F68:F75)</f>
        <v>6500</v>
      </c>
      <c r="G76" s="35"/>
      <c r="H76" s="45">
        <f>SUM(H68:H75)</f>
        <v>0.32662529756792447</v>
      </c>
    </row>
    <row r="77" spans="1:9" ht="15" thickBot="1" x14ac:dyDescent="0.4">
      <c r="A77" s="77" t="s">
        <v>0</v>
      </c>
      <c r="B77" s="78"/>
      <c r="C77" s="79">
        <v>46119</v>
      </c>
      <c r="D77" s="80"/>
      <c r="E77" s="81" t="s">
        <v>1</v>
      </c>
      <c r="F77" s="82"/>
      <c r="G77" s="41" t="s">
        <v>58</v>
      </c>
      <c r="H77" s="2"/>
      <c r="I77" s="47"/>
    </row>
    <row r="78" spans="1:9" ht="15" thickBot="1" x14ac:dyDescent="0.4">
      <c r="A78" s="83" t="s">
        <v>3</v>
      </c>
      <c r="B78" s="84"/>
      <c r="C78" s="8" t="s">
        <v>62</v>
      </c>
      <c r="D78" s="9"/>
      <c r="E78" s="48" t="s">
        <v>5</v>
      </c>
      <c r="F78" s="49"/>
      <c r="G78" s="49">
        <v>113025</v>
      </c>
      <c r="H78" s="50"/>
    </row>
    <row r="79" spans="1:9" ht="15" thickBot="1" x14ac:dyDescent="0.4">
      <c r="A79" s="13"/>
      <c r="B79" s="14" t="s">
        <v>6</v>
      </c>
      <c r="C79" s="15"/>
      <c r="D79" s="14" t="s">
        <v>7</v>
      </c>
      <c r="E79" s="16" t="s">
        <v>8</v>
      </c>
      <c r="F79" s="17" t="s">
        <v>9</v>
      </c>
      <c r="G79" s="18" t="s">
        <v>10</v>
      </c>
      <c r="H79" s="14" t="s">
        <v>11</v>
      </c>
    </row>
    <row r="80" spans="1:9" ht="29.5" thickBot="1" x14ac:dyDescent="0.4">
      <c r="A80" s="19">
        <v>1</v>
      </c>
      <c r="B80" s="20">
        <v>306635</v>
      </c>
      <c r="C80" s="21" t="s">
        <v>63</v>
      </c>
      <c r="D80" s="51" t="s">
        <v>64</v>
      </c>
      <c r="E80" s="20">
        <v>1000</v>
      </c>
      <c r="F80" s="23">
        <v>789</v>
      </c>
      <c r="G80" s="20">
        <v>11448</v>
      </c>
      <c r="H80" s="24">
        <f t="shared" ref="H80:H81" si="8">F80/G80</f>
        <v>6.8920335429769386E-2</v>
      </c>
    </row>
    <row r="81" spans="1:9" ht="29.5" thickBot="1" x14ac:dyDescent="0.4">
      <c r="A81" s="19">
        <v>2</v>
      </c>
      <c r="B81" s="20">
        <v>306636</v>
      </c>
      <c r="C81" s="21" t="s">
        <v>65</v>
      </c>
      <c r="D81" s="51" t="s">
        <v>64</v>
      </c>
      <c r="E81" s="20">
        <v>1000</v>
      </c>
      <c r="F81" s="23">
        <v>770</v>
      </c>
      <c r="G81" s="20">
        <v>4860</v>
      </c>
      <c r="H81" s="24">
        <f t="shared" si="8"/>
        <v>0.15843621399176955</v>
      </c>
    </row>
    <row r="82" spans="1:9" ht="15" thickBot="1" x14ac:dyDescent="0.4">
      <c r="A82" s="38"/>
      <c r="B82" s="39" t="s">
        <v>17</v>
      </c>
      <c r="C82" s="30" t="s">
        <v>18</v>
      </c>
      <c r="D82" s="21"/>
      <c r="E82" s="21"/>
      <c r="F82" s="31"/>
      <c r="G82" s="21"/>
      <c r="H82" s="21"/>
    </row>
    <row r="83" spans="1:9" ht="15" thickBot="1" x14ac:dyDescent="0.4">
      <c r="A83" s="32"/>
      <c r="B83" s="29" t="s">
        <v>17</v>
      </c>
      <c r="C83" s="33" t="s">
        <v>19</v>
      </c>
      <c r="D83" s="34"/>
      <c r="E83" s="34"/>
      <c r="F83" s="15"/>
      <c r="G83" s="34"/>
      <c r="H83" s="34"/>
    </row>
    <row r="84" spans="1:9" ht="15" thickBot="1" x14ac:dyDescent="0.4">
      <c r="A84" s="35"/>
      <c r="B84" s="35"/>
      <c r="C84" s="43"/>
      <c r="D84" s="35"/>
      <c r="E84" s="35"/>
      <c r="F84" s="44">
        <f>SUM(F80:F83)</f>
        <v>1559</v>
      </c>
      <c r="G84" s="35"/>
      <c r="H84" s="45">
        <f>SUM(H80:H83)</f>
        <v>0.22735654942153893</v>
      </c>
    </row>
    <row r="85" spans="1:9" ht="15" thickBot="1" x14ac:dyDescent="0.4">
      <c r="A85" s="77" t="s">
        <v>0</v>
      </c>
      <c r="B85" s="78"/>
      <c r="C85" s="79">
        <v>46136</v>
      </c>
      <c r="D85" s="80"/>
      <c r="E85" s="81" t="s">
        <v>1</v>
      </c>
      <c r="F85" s="82"/>
      <c r="G85" s="41" t="s">
        <v>2</v>
      </c>
      <c r="H85" s="2"/>
      <c r="I85" s="3"/>
    </row>
    <row r="86" spans="1:9" ht="15" thickBot="1" x14ac:dyDescent="0.4">
      <c r="A86" s="83" t="s">
        <v>3</v>
      </c>
      <c r="B86" s="84"/>
      <c r="C86" s="8" t="s">
        <v>66</v>
      </c>
      <c r="D86" s="9"/>
      <c r="E86" s="85" t="s">
        <v>5</v>
      </c>
      <c r="F86" s="86"/>
      <c r="G86" s="10">
        <v>113048</v>
      </c>
      <c r="H86" s="11"/>
      <c r="I86" s="12"/>
    </row>
    <row r="87" spans="1:9" ht="15" thickBot="1" x14ac:dyDescent="0.4">
      <c r="A87" s="13"/>
      <c r="B87" s="14" t="s">
        <v>6</v>
      </c>
      <c r="C87" s="15"/>
      <c r="D87" s="14" t="s">
        <v>7</v>
      </c>
      <c r="E87" s="16" t="s">
        <v>8</v>
      </c>
      <c r="F87" s="17" t="s">
        <v>9</v>
      </c>
      <c r="G87" s="18" t="s">
        <v>10</v>
      </c>
      <c r="H87" s="14" t="s">
        <v>11</v>
      </c>
    </row>
    <row r="88" spans="1:9" ht="15" thickBot="1" x14ac:dyDescent="0.4">
      <c r="A88" s="19">
        <v>6</v>
      </c>
      <c r="B88" s="20">
        <v>302935</v>
      </c>
      <c r="C88" s="21" t="s">
        <v>67</v>
      </c>
      <c r="D88" s="20" t="s">
        <v>68</v>
      </c>
      <c r="E88" s="20">
        <v>10</v>
      </c>
      <c r="F88" s="23">
        <v>5</v>
      </c>
      <c r="G88" s="20">
        <v>45</v>
      </c>
      <c r="H88" s="24">
        <f t="shared" ref="H88:H90" si="9">F88/G88</f>
        <v>0.1111111111111111</v>
      </c>
    </row>
    <row r="89" spans="1:9" ht="15" thickBot="1" x14ac:dyDescent="0.4">
      <c r="A89" s="19">
        <v>9</v>
      </c>
      <c r="B89" s="20">
        <v>306398</v>
      </c>
      <c r="C89" s="21" t="s">
        <v>38</v>
      </c>
      <c r="D89" s="20" t="s">
        <v>28</v>
      </c>
      <c r="E89" s="20">
        <v>1000</v>
      </c>
      <c r="F89" s="23">
        <v>592</v>
      </c>
      <c r="G89" s="20">
        <v>6720</v>
      </c>
      <c r="H89" s="24">
        <f t="shared" si="9"/>
        <v>8.8095238095238101E-2</v>
      </c>
    </row>
    <row r="90" spans="1:9" ht="15" thickBot="1" x14ac:dyDescent="0.4">
      <c r="A90" s="19">
        <v>12</v>
      </c>
      <c r="B90" s="20">
        <v>306403</v>
      </c>
      <c r="C90" s="21" t="s">
        <v>69</v>
      </c>
      <c r="D90" s="20" t="s">
        <v>28</v>
      </c>
      <c r="E90" s="20">
        <v>500</v>
      </c>
      <c r="F90" s="23">
        <v>216</v>
      </c>
      <c r="G90" s="20">
        <v>2688</v>
      </c>
      <c r="H90" s="24">
        <f t="shared" si="9"/>
        <v>8.0357142857142863E-2</v>
      </c>
    </row>
    <row r="91" spans="1:9" ht="15" thickBot="1" x14ac:dyDescent="0.4">
      <c r="A91" s="38"/>
      <c r="B91" s="21"/>
      <c r="C91" s="30" t="s">
        <v>18</v>
      </c>
      <c r="D91" s="21"/>
      <c r="E91" s="21"/>
      <c r="F91" s="31"/>
      <c r="G91" s="21"/>
      <c r="H91" s="21"/>
    </row>
    <row r="92" spans="1:9" ht="15" thickBot="1" x14ac:dyDescent="0.4">
      <c r="A92" s="32"/>
      <c r="B92" s="29" t="s">
        <v>17</v>
      </c>
      <c r="C92" s="33" t="s">
        <v>70</v>
      </c>
      <c r="D92" s="34"/>
      <c r="E92" s="34"/>
      <c r="F92" s="15"/>
      <c r="G92" s="34"/>
      <c r="H92" s="34"/>
    </row>
    <row r="93" spans="1:9" ht="15" thickBot="1" x14ac:dyDescent="0.4">
      <c r="A93" s="35"/>
      <c r="B93" s="35"/>
      <c r="C93" s="43"/>
      <c r="D93" s="35"/>
      <c r="E93" s="35"/>
      <c r="F93" s="44">
        <f>SUM(F88:F92)</f>
        <v>813</v>
      </c>
      <c r="G93" s="35"/>
      <c r="H93" s="45">
        <f>SUM(H88:H92)</f>
        <v>0.27956349206349207</v>
      </c>
    </row>
    <row r="94" spans="1:9" ht="15" thickBot="1" x14ac:dyDescent="0.4">
      <c r="A94" s="77" t="s">
        <v>0</v>
      </c>
      <c r="B94" s="78"/>
      <c r="C94" s="79">
        <v>46136</v>
      </c>
      <c r="D94" s="80"/>
      <c r="E94" s="81" t="s">
        <v>1</v>
      </c>
      <c r="F94" s="82"/>
      <c r="G94" s="41" t="s">
        <v>2</v>
      </c>
      <c r="H94" s="2"/>
      <c r="I94" s="3"/>
    </row>
    <row r="95" spans="1:9" ht="15" thickBot="1" x14ac:dyDescent="0.4">
      <c r="A95" s="83" t="s">
        <v>3</v>
      </c>
      <c r="B95" s="84"/>
      <c r="C95" s="8" t="s">
        <v>71</v>
      </c>
      <c r="D95" s="9"/>
      <c r="E95" s="85" t="s">
        <v>5</v>
      </c>
      <c r="F95" s="86"/>
      <c r="G95" s="10">
        <v>113048</v>
      </c>
      <c r="H95" s="11"/>
      <c r="I95" s="12"/>
    </row>
    <row r="96" spans="1:9" ht="15" thickBot="1" x14ac:dyDescent="0.4">
      <c r="A96" s="13"/>
      <c r="B96" s="14" t="s">
        <v>6</v>
      </c>
      <c r="C96" s="15"/>
      <c r="D96" s="14" t="s">
        <v>7</v>
      </c>
      <c r="E96" s="16" t="s">
        <v>8</v>
      </c>
      <c r="F96" s="17" t="s">
        <v>9</v>
      </c>
      <c r="G96" s="18" t="s">
        <v>10</v>
      </c>
      <c r="H96" s="14" t="s">
        <v>11</v>
      </c>
    </row>
    <row r="97" spans="1:9" ht="15" thickBot="1" x14ac:dyDescent="0.4">
      <c r="A97" s="19">
        <v>1</v>
      </c>
      <c r="B97" s="20">
        <v>302606</v>
      </c>
      <c r="C97" s="21" t="s">
        <v>72</v>
      </c>
      <c r="D97" s="20" t="s">
        <v>23</v>
      </c>
      <c r="E97" s="20">
        <v>500</v>
      </c>
      <c r="F97" s="23">
        <v>78</v>
      </c>
      <c r="G97" s="20">
        <v>4704</v>
      </c>
      <c r="H97" s="24">
        <f t="shared" ref="H97" si="10">F97/G97</f>
        <v>1.6581632653061226E-2</v>
      </c>
    </row>
    <row r="98" spans="1:9" ht="15" thickBot="1" x14ac:dyDescent="0.4">
      <c r="A98" s="38"/>
      <c r="B98" s="21"/>
      <c r="C98" s="30" t="s">
        <v>18</v>
      </c>
      <c r="D98" s="21"/>
      <c r="E98" s="21"/>
      <c r="F98" s="31"/>
      <c r="G98" s="21"/>
      <c r="H98" s="21"/>
    </row>
    <row r="99" spans="1:9" ht="15" thickBot="1" x14ac:dyDescent="0.4">
      <c r="A99" s="32"/>
      <c r="B99" s="29" t="s">
        <v>17</v>
      </c>
      <c r="C99" s="33" t="s">
        <v>70</v>
      </c>
      <c r="D99" s="34"/>
      <c r="E99" s="34"/>
      <c r="F99" s="15"/>
      <c r="G99" s="34"/>
      <c r="H99" s="34"/>
    </row>
    <row r="100" spans="1:9" ht="15" thickBot="1" x14ac:dyDescent="0.4">
      <c r="A100" s="35"/>
      <c r="B100" s="35"/>
      <c r="C100" s="43"/>
      <c r="D100" s="35"/>
      <c r="E100" s="35"/>
      <c r="F100" s="44">
        <f>SUM(F97:F99)</f>
        <v>78</v>
      </c>
      <c r="G100" s="35"/>
      <c r="H100" s="45">
        <f>SUM(H97:H99)</f>
        <v>1.6581632653061226E-2</v>
      </c>
    </row>
    <row r="101" spans="1:9" ht="15" thickBot="1" x14ac:dyDescent="0.4">
      <c r="A101" s="77" t="s">
        <v>0</v>
      </c>
      <c r="B101" s="78"/>
      <c r="C101" s="79">
        <v>46147</v>
      </c>
      <c r="D101" s="80"/>
      <c r="E101" s="81" t="s">
        <v>1</v>
      </c>
      <c r="F101" s="82"/>
      <c r="G101" s="41" t="s">
        <v>2</v>
      </c>
      <c r="H101" s="2"/>
      <c r="I101" s="3"/>
    </row>
    <row r="102" spans="1:9" ht="15" thickBot="1" x14ac:dyDescent="0.4">
      <c r="A102" s="83" t="s">
        <v>3</v>
      </c>
      <c r="B102" s="84"/>
      <c r="C102" s="8" t="s">
        <v>73</v>
      </c>
      <c r="D102" s="9"/>
      <c r="E102" s="85" t="s">
        <v>5</v>
      </c>
      <c r="F102" s="86"/>
      <c r="G102" s="10">
        <v>113054</v>
      </c>
      <c r="H102" s="11"/>
      <c r="I102" s="12"/>
    </row>
    <row r="103" spans="1:9" ht="15" thickBot="1" x14ac:dyDescent="0.4">
      <c r="A103" s="13"/>
      <c r="B103" s="14" t="s">
        <v>6</v>
      </c>
      <c r="C103" s="15"/>
      <c r="D103" s="14" t="s">
        <v>7</v>
      </c>
      <c r="E103" s="16" t="s">
        <v>8</v>
      </c>
      <c r="F103" s="17" t="s">
        <v>9</v>
      </c>
      <c r="G103" s="18" t="s">
        <v>10</v>
      </c>
      <c r="H103" s="14" t="s">
        <v>11</v>
      </c>
    </row>
    <row r="104" spans="1:9" ht="15" thickBot="1" x14ac:dyDescent="0.4">
      <c r="A104" s="19">
        <v>16</v>
      </c>
      <c r="B104" s="20">
        <v>306140</v>
      </c>
      <c r="C104" s="21" t="s">
        <v>74</v>
      </c>
      <c r="D104" s="20" t="s">
        <v>28</v>
      </c>
      <c r="E104" s="20">
        <v>15</v>
      </c>
      <c r="F104" s="23">
        <v>15</v>
      </c>
      <c r="G104" s="20">
        <v>440</v>
      </c>
      <c r="H104" s="24">
        <f t="shared" ref="H104:H111" si="11">F104/G104</f>
        <v>3.4090909090909088E-2</v>
      </c>
    </row>
    <row r="105" spans="1:9" ht="15" thickBot="1" x14ac:dyDescent="0.4">
      <c r="A105" s="19">
        <v>17</v>
      </c>
      <c r="B105" s="20">
        <v>306398</v>
      </c>
      <c r="C105" s="21" t="s">
        <v>38</v>
      </c>
      <c r="D105" s="20" t="s">
        <v>28</v>
      </c>
      <c r="E105" s="20">
        <v>500</v>
      </c>
      <c r="F105" s="23">
        <v>500</v>
      </c>
      <c r="G105" s="20">
        <v>6720</v>
      </c>
      <c r="H105" s="24">
        <f t="shared" si="11"/>
        <v>7.4404761904761904E-2</v>
      </c>
    </row>
    <row r="106" spans="1:9" ht="15" thickBot="1" x14ac:dyDescent="0.4">
      <c r="A106" s="19">
        <v>18</v>
      </c>
      <c r="B106" s="20">
        <v>306399</v>
      </c>
      <c r="C106" s="21" t="s">
        <v>39</v>
      </c>
      <c r="D106" s="20" t="s">
        <v>28</v>
      </c>
      <c r="E106" s="20">
        <v>500</v>
      </c>
      <c r="F106" s="23">
        <v>500</v>
      </c>
      <c r="G106" s="20">
        <v>3192</v>
      </c>
      <c r="H106" s="24">
        <f t="shared" si="11"/>
        <v>0.15664160401002505</v>
      </c>
    </row>
    <row r="107" spans="1:9" ht="15" thickBot="1" x14ac:dyDescent="0.4">
      <c r="A107" s="19">
        <v>19</v>
      </c>
      <c r="B107" s="20">
        <v>306400</v>
      </c>
      <c r="C107" s="21" t="s">
        <v>40</v>
      </c>
      <c r="D107" s="20" t="s">
        <v>28</v>
      </c>
      <c r="E107" s="20">
        <v>250</v>
      </c>
      <c r="F107" s="23">
        <v>250</v>
      </c>
      <c r="G107" s="20">
        <v>880</v>
      </c>
      <c r="H107" s="24">
        <f t="shared" si="11"/>
        <v>0.28409090909090912</v>
      </c>
    </row>
    <row r="108" spans="1:9" ht="15" thickBot="1" x14ac:dyDescent="0.4">
      <c r="A108" s="19">
        <v>20</v>
      </c>
      <c r="B108" s="20">
        <v>306403</v>
      </c>
      <c r="C108" s="21" t="s">
        <v>69</v>
      </c>
      <c r="D108" s="20" t="s">
        <v>28</v>
      </c>
      <c r="E108" s="20">
        <v>250</v>
      </c>
      <c r="F108" s="23">
        <v>250</v>
      </c>
      <c r="G108" s="20">
        <v>2688</v>
      </c>
      <c r="H108" s="24">
        <f t="shared" si="11"/>
        <v>9.3005952380952384E-2</v>
      </c>
    </row>
    <row r="109" spans="1:9" ht="15" thickBot="1" x14ac:dyDescent="0.4">
      <c r="A109" s="19">
        <v>21</v>
      </c>
      <c r="B109" s="20">
        <v>306404</v>
      </c>
      <c r="C109" s="21" t="s">
        <v>75</v>
      </c>
      <c r="D109" s="20" t="s">
        <v>28</v>
      </c>
      <c r="E109" s="20">
        <v>250</v>
      </c>
      <c r="F109" s="23">
        <v>250</v>
      </c>
      <c r="G109" s="20">
        <v>1584</v>
      </c>
      <c r="H109" s="24">
        <f t="shared" si="11"/>
        <v>0.15782828282828282</v>
      </c>
    </row>
    <row r="110" spans="1:9" ht="29.5" thickBot="1" x14ac:dyDescent="0.4">
      <c r="A110" s="19">
        <v>22</v>
      </c>
      <c r="B110" s="20">
        <v>306238</v>
      </c>
      <c r="C110" s="21" t="s">
        <v>76</v>
      </c>
      <c r="D110" s="20" t="s">
        <v>28</v>
      </c>
      <c r="E110" s="20">
        <v>50</v>
      </c>
      <c r="F110" s="23">
        <v>50</v>
      </c>
      <c r="G110" s="20">
        <v>624</v>
      </c>
      <c r="H110" s="24">
        <f t="shared" si="11"/>
        <v>8.0128205128205135E-2</v>
      </c>
    </row>
    <row r="111" spans="1:9" ht="15" thickBot="1" x14ac:dyDescent="0.4">
      <c r="A111" s="19">
        <v>23</v>
      </c>
      <c r="B111" s="20">
        <v>300351</v>
      </c>
      <c r="C111" s="21" t="s">
        <v>77</v>
      </c>
      <c r="D111" s="20" t="s">
        <v>28</v>
      </c>
      <c r="E111" s="20">
        <v>96</v>
      </c>
      <c r="F111" s="23">
        <v>96</v>
      </c>
      <c r="G111" s="20">
        <v>1904</v>
      </c>
      <c r="H111" s="24">
        <f t="shared" si="11"/>
        <v>5.0420168067226892E-2</v>
      </c>
    </row>
    <row r="112" spans="1:9" ht="15" thickBot="1" x14ac:dyDescent="0.4">
      <c r="A112" s="38"/>
      <c r="B112" s="21"/>
      <c r="C112" s="30" t="s">
        <v>18</v>
      </c>
      <c r="D112" s="21"/>
      <c r="E112" s="21"/>
      <c r="F112" s="31"/>
      <c r="G112" s="21"/>
      <c r="H112" s="21"/>
    </row>
    <row r="113" spans="1:9" ht="15" thickBot="1" x14ac:dyDescent="0.4">
      <c r="A113" s="32"/>
      <c r="B113" s="29" t="s">
        <v>17</v>
      </c>
      <c r="C113" s="33" t="s">
        <v>70</v>
      </c>
      <c r="D113" s="34"/>
      <c r="E113" s="34"/>
      <c r="F113" s="15"/>
      <c r="G113" s="34"/>
      <c r="H113" s="34"/>
    </row>
    <row r="114" spans="1:9" ht="15" thickBot="1" x14ac:dyDescent="0.4">
      <c r="A114" s="35"/>
      <c r="B114" s="35"/>
      <c r="C114" s="43"/>
      <c r="D114" s="35"/>
      <c r="E114" s="35"/>
      <c r="F114" s="44">
        <f>SUM(F104:F113)</f>
        <v>1911</v>
      </c>
      <c r="G114" s="35"/>
      <c r="H114" s="45">
        <f>SUM(H104:H113)</f>
        <v>0.93061079250127243</v>
      </c>
    </row>
    <row r="115" spans="1:9" ht="15" thickBot="1" x14ac:dyDescent="0.4">
      <c r="A115" s="77" t="s">
        <v>0</v>
      </c>
      <c r="B115" s="78"/>
      <c r="C115" s="79">
        <v>46147</v>
      </c>
      <c r="D115" s="80"/>
      <c r="E115" s="81" t="s">
        <v>1</v>
      </c>
      <c r="F115" s="82"/>
      <c r="G115" s="41" t="s">
        <v>2</v>
      </c>
      <c r="H115" s="2"/>
      <c r="I115" s="3"/>
    </row>
    <row r="116" spans="1:9" ht="15" thickBot="1" x14ac:dyDescent="0.4">
      <c r="A116" s="83" t="s">
        <v>3</v>
      </c>
      <c r="B116" s="84"/>
      <c r="C116" s="8" t="s">
        <v>78</v>
      </c>
      <c r="D116" s="9"/>
      <c r="E116" s="85" t="s">
        <v>5</v>
      </c>
      <c r="F116" s="86"/>
      <c r="G116" s="10">
        <v>113054</v>
      </c>
      <c r="H116" s="11"/>
      <c r="I116" s="12"/>
    </row>
    <row r="117" spans="1:9" ht="15" thickBot="1" x14ac:dyDescent="0.4">
      <c r="A117" s="13"/>
      <c r="B117" s="14" t="s">
        <v>6</v>
      </c>
      <c r="C117" s="15"/>
      <c r="D117" s="14" t="s">
        <v>7</v>
      </c>
      <c r="E117" s="16" t="s">
        <v>8</v>
      </c>
      <c r="F117" s="17" t="s">
        <v>9</v>
      </c>
      <c r="G117" s="18" t="s">
        <v>10</v>
      </c>
      <c r="H117" s="14" t="s">
        <v>11</v>
      </c>
    </row>
    <row r="118" spans="1:9" ht="15" thickBot="1" x14ac:dyDescent="0.4">
      <c r="A118" s="19">
        <v>5</v>
      </c>
      <c r="B118" s="20">
        <v>300940</v>
      </c>
      <c r="C118" s="21" t="s">
        <v>29</v>
      </c>
      <c r="D118" s="20" t="s">
        <v>23</v>
      </c>
      <c r="E118" s="20">
        <v>750</v>
      </c>
      <c r="F118" s="23">
        <v>750</v>
      </c>
      <c r="G118" s="20">
        <v>19236</v>
      </c>
      <c r="H118" s="24">
        <f t="shared" ref="H118:H124" si="12">F118/G118</f>
        <v>3.898939488459139E-2</v>
      </c>
    </row>
    <row r="119" spans="1:9" ht="15" thickBot="1" x14ac:dyDescent="0.4">
      <c r="A119" s="19">
        <v>6</v>
      </c>
      <c r="B119" s="20">
        <v>301107</v>
      </c>
      <c r="C119" s="21" t="s">
        <v>30</v>
      </c>
      <c r="D119" s="20" t="s">
        <v>23</v>
      </c>
      <c r="E119" s="20">
        <v>1000</v>
      </c>
      <c r="F119" s="23">
        <v>1000</v>
      </c>
      <c r="G119" s="20">
        <v>11088</v>
      </c>
      <c r="H119" s="24">
        <f t="shared" si="12"/>
        <v>9.0187590187590191E-2</v>
      </c>
    </row>
    <row r="120" spans="1:9" ht="15" thickBot="1" x14ac:dyDescent="0.4">
      <c r="A120" s="19">
        <v>7</v>
      </c>
      <c r="B120" s="20">
        <v>301108</v>
      </c>
      <c r="C120" s="21" t="s">
        <v>31</v>
      </c>
      <c r="D120" s="20" t="s">
        <v>23</v>
      </c>
      <c r="E120" s="20">
        <v>1000</v>
      </c>
      <c r="F120" s="23">
        <v>1000</v>
      </c>
      <c r="G120" s="20">
        <v>6528</v>
      </c>
      <c r="H120" s="24">
        <f t="shared" si="12"/>
        <v>0.15318627450980393</v>
      </c>
    </row>
    <row r="121" spans="1:9" ht="15" thickBot="1" x14ac:dyDescent="0.4">
      <c r="A121" s="19">
        <v>8</v>
      </c>
      <c r="B121" s="20">
        <v>301110</v>
      </c>
      <c r="C121" s="21" t="s">
        <v>32</v>
      </c>
      <c r="D121" s="20" t="s">
        <v>23</v>
      </c>
      <c r="E121" s="20">
        <v>750</v>
      </c>
      <c r="F121" s="23">
        <v>750</v>
      </c>
      <c r="G121" s="20">
        <v>54360</v>
      </c>
      <c r="H121" s="24">
        <f t="shared" si="12"/>
        <v>1.379690949227373E-2</v>
      </c>
    </row>
    <row r="122" spans="1:9" ht="15" thickBot="1" x14ac:dyDescent="0.4">
      <c r="A122" s="19">
        <v>9</v>
      </c>
      <c r="B122" s="20">
        <v>301111</v>
      </c>
      <c r="C122" s="21" t="s">
        <v>33</v>
      </c>
      <c r="D122" s="20" t="s">
        <v>23</v>
      </c>
      <c r="E122" s="20">
        <v>1000</v>
      </c>
      <c r="F122" s="23">
        <v>1000</v>
      </c>
      <c r="G122" s="20">
        <v>29808</v>
      </c>
      <c r="H122" s="24">
        <f t="shared" si="12"/>
        <v>3.3548040794417609E-2</v>
      </c>
    </row>
    <row r="123" spans="1:9" ht="15" thickBot="1" x14ac:dyDescent="0.4">
      <c r="A123" s="19">
        <v>10</v>
      </c>
      <c r="B123" s="20">
        <v>301112</v>
      </c>
      <c r="C123" s="21" t="s">
        <v>60</v>
      </c>
      <c r="D123" s="20" t="s">
        <v>23</v>
      </c>
      <c r="E123" s="20">
        <v>1000</v>
      </c>
      <c r="F123" s="23">
        <v>1000</v>
      </c>
      <c r="G123" s="20">
        <v>12432</v>
      </c>
      <c r="H123" s="24">
        <f t="shared" si="12"/>
        <v>8.0437580437580439E-2</v>
      </c>
    </row>
    <row r="124" spans="1:9" ht="15" thickBot="1" x14ac:dyDescent="0.4">
      <c r="A124" s="19">
        <v>11</v>
      </c>
      <c r="B124" s="20">
        <v>302764</v>
      </c>
      <c r="C124" s="21" t="s">
        <v>79</v>
      </c>
      <c r="D124" s="20" t="s">
        <v>23</v>
      </c>
      <c r="E124" s="20">
        <v>206</v>
      </c>
      <c r="F124" s="23">
        <v>206</v>
      </c>
      <c r="G124" s="20">
        <v>17550</v>
      </c>
      <c r="H124" s="24">
        <f t="shared" si="12"/>
        <v>1.1737891737891738E-2</v>
      </c>
    </row>
    <row r="125" spans="1:9" ht="15" thickBot="1" x14ac:dyDescent="0.4">
      <c r="A125" s="38"/>
      <c r="B125" s="21"/>
      <c r="C125" s="30" t="s">
        <v>18</v>
      </c>
      <c r="D125" s="21"/>
      <c r="E125" s="21"/>
      <c r="F125" s="31"/>
      <c r="G125" s="21"/>
      <c r="H125" s="21"/>
    </row>
    <row r="126" spans="1:9" ht="15" thickBot="1" x14ac:dyDescent="0.4">
      <c r="A126" s="28"/>
      <c r="B126" s="21"/>
      <c r="C126" s="30" t="s">
        <v>80</v>
      </c>
      <c r="D126" s="21"/>
      <c r="E126" s="21"/>
      <c r="F126" s="31"/>
      <c r="G126" s="21"/>
      <c r="H126" s="21"/>
    </row>
    <row r="127" spans="1:9" ht="15" thickBot="1" x14ac:dyDescent="0.4">
      <c r="A127" s="32"/>
      <c r="B127" s="29" t="s">
        <v>17</v>
      </c>
      <c r="C127" s="33" t="s">
        <v>70</v>
      </c>
      <c r="D127" s="34"/>
      <c r="E127" s="34"/>
      <c r="F127" s="15"/>
      <c r="G127" s="34"/>
      <c r="H127" s="34"/>
    </row>
    <row r="128" spans="1:9" ht="15" thickBot="1" x14ac:dyDescent="0.4">
      <c r="A128" s="35"/>
      <c r="B128" s="35"/>
      <c r="C128" s="43"/>
      <c r="D128" s="35"/>
      <c r="E128" s="35"/>
      <c r="F128" s="44">
        <f>SUM(F118:F127)</f>
        <v>5706</v>
      </c>
      <c r="G128" s="35"/>
      <c r="H128" s="45">
        <f>SUM(H118:H127)</f>
        <v>0.421883682044149</v>
      </c>
    </row>
    <row r="129" spans="1:9" ht="15" thickBot="1" x14ac:dyDescent="0.4">
      <c r="A129" s="77" t="s">
        <v>0</v>
      </c>
      <c r="B129" s="78"/>
      <c r="C129" s="79">
        <v>46147</v>
      </c>
      <c r="D129" s="80"/>
      <c r="E129" s="81" t="s">
        <v>1</v>
      </c>
      <c r="F129" s="82"/>
      <c r="G129" s="41" t="s">
        <v>2</v>
      </c>
      <c r="H129" s="2"/>
      <c r="I129" s="3"/>
    </row>
    <row r="130" spans="1:9" ht="15" thickBot="1" x14ac:dyDescent="0.4">
      <c r="A130" s="83" t="s">
        <v>3</v>
      </c>
      <c r="B130" s="84"/>
      <c r="C130" s="8" t="s">
        <v>81</v>
      </c>
      <c r="D130" s="9"/>
      <c r="E130" s="85" t="s">
        <v>5</v>
      </c>
      <c r="F130" s="86"/>
      <c r="G130" s="10">
        <v>113054</v>
      </c>
      <c r="H130" s="11"/>
      <c r="I130" s="12"/>
    </row>
    <row r="131" spans="1:9" ht="15" thickBot="1" x14ac:dyDescent="0.4">
      <c r="A131" s="13"/>
      <c r="B131" s="14" t="s">
        <v>6</v>
      </c>
      <c r="C131" s="15"/>
      <c r="D131" s="14" t="s">
        <v>7</v>
      </c>
      <c r="E131" s="16" t="s">
        <v>8</v>
      </c>
      <c r="F131" s="17" t="s">
        <v>9</v>
      </c>
      <c r="G131" s="18" t="s">
        <v>10</v>
      </c>
      <c r="H131" s="14" t="s">
        <v>11</v>
      </c>
    </row>
    <row r="132" spans="1:9" ht="29.5" thickBot="1" x14ac:dyDescent="0.4">
      <c r="A132" s="19">
        <v>1</v>
      </c>
      <c r="B132" s="20">
        <v>305381</v>
      </c>
      <c r="C132" s="21" t="s">
        <v>82</v>
      </c>
      <c r="D132" s="20" t="s">
        <v>23</v>
      </c>
      <c r="E132" s="20">
        <v>50</v>
      </c>
      <c r="F132" s="23">
        <v>50</v>
      </c>
      <c r="G132" s="20">
        <v>566</v>
      </c>
      <c r="H132" s="24">
        <f t="shared" ref="H132" si="13">F132/G132</f>
        <v>8.8339222614840993E-2</v>
      </c>
    </row>
    <row r="133" spans="1:9" ht="15" thickBot="1" x14ac:dyDescent="0.4">
      <c r="A133" s="38"/>
      <c r="B133" s="21"/>
      <c r="C133" s="30" t="s">
        <v>18</v>
      </c>
      <c r="D133" s="21"/>
      <c r="E133" s="21"/>
      <c r="F133" s="31"/>
      <c r="G133" s="21"/>
      <c r="H133" s="21"/>
    </row>
    <row r="134" spans="1:9" ht="15" thickBot="1" x14ac:dyDescent="0.4">
      <c r="A134" s="32"/>
      <c r="B134" s="29" t="s">
        <v>17</v>
      </c>
      <c r="C134" s="33" t="s">
        <v>70</v>
      </c>
      <c r="D134" s="34"/>
      <c r="E134" s="34"/>
      <c r="F134" s="15"/>
      <c r="G134" s="34"/>
      <c r="H134" s="34"/>
    </row>
    <row r="135" spans="1:9" ht="15" thickBot="1" x14ac:dyDescent="0.4">
      <c r="A135" s="35"/>
      <c r="B135" s="35"/>
      <c r="C135" s="43"/>
      <c r="D135" s="35"/>
      <c r="E135" s="35"/>
      <c r="F135" s="44">
        <f>SUM(F132:F134)</f>
        <v>50</v>
      </c>
      <c r="G135" s="35"/>
      <c r="H135" s="45">
        <f>SUM(H132:H134)</f>
        <v>8.8339222614840993E-2</v>
      </c>
    </row>
    <row r="136" spans="1:9" ht="15" thickBot="1" x14ac:dyDescent="0.4">
      <c r="A136" s="77" t="s">
        <v>0</v>
      </c>
      <c r="B136" s="78"/>
      <c r="C136" s="79">
        <v>46147</v>
      </c>
      <c r="D136" s="80"/>
      <c r="E136" s="81" t="s">
        <v>1</v>
      </c>
      <c r="F136" s="82"/>
      <c r="G136" s="41" t="s">
        <v>2</v>
      </c>
      <c r="H136" s="2"/>
      <c r="I136" s="3"/>
    </row>
    <row r="137" spans="1:9" ht="15" thickBot="1" x14ac:dyDescent="0.4">
      <c r="A137" s="83" t="s">
        <v>3</v>
      </c>
      <c r="B137" s="84"/>
      <c r="C137" s="8" t="s">
        <v>83</v>
      </c>
      <c r="D137" s="9"/>
      <c r="E137" s="85" t="s">
        <v>5</v>
      </c>
      <c r="F137" s="86"/>
      <c r="G137" s="10">
        <v>113054</v>
      </c>
      <c r="H137" s="11"/>
      <c r="I137" s="12"/>
    </row>
    <row r="138" spans="1:9" ht="15" thickBot="1" x14ac:dyDescent="0.4">
      <c r="A138" s="13"/>
      <c r="B138" s="14" t="s">
        <v>6</v>
      </c>
      <c r="C138" s="15"/>
      <c r="D138" s="14" t="s">
        <v>7</v>
      </c>
      <c r="E138" s="16" t="s">
        <v>8</v>
      </c>
      <c r="F138" s="17" t="s">
        <v>9</v>
      </c>
      <c r="G138" s="18" t="s">
        <v>10</v>
      </c>
      <c r="H138" s="14" t="s">
        <v>11</v>
      </c>
    </row>
    <row r="139" spans="1:9" ht="15" thickBot="1" x14ac:dyDescent="0.4">
      <c r="A139" s="19">
        <v>1</v>
      </c>
      <c r="B139" s="20">
        <v>301111</v>
      </c>
      <c r="C139" s="21" t="s">
        <v>33</v>
      </c>
      <c r="D139" s="20" t="s">
        <v>23</v>
      </c>
      <c r="E139" s="20">
        <v>1500</v>
      </c>
      <c r="F139" s="23">
        <v>1500</v>
      </c>
      <c r="G139" s="20">
        <v>29808</v>
      </c>
      <c r="H139" s="24">
        <f t="shared" ref="H139:H145" si="14">F139/G139</f>
        <v>5.032206119162641E-2</v>
      </c>
    </row>
    <row r="140" spans="1:9" ht="15" thickBot="1" x14ac:dyDescent="0.4">
      <c r="A140" s="19">
        <v>2</v>
      </c>
      <c r="B140" s="20">
        <v>301112</v>
      </c>
      <c r="C140" s="21" t="s">
        <v>60</v>
      </c>
      <c r="D140" s="20" t="s">
        <v>23</v>
      </c>
      <c r="E140" s="20">
        <v>500</v>
      </c>
      <c r="F140" s="23">
        <v>500</v>
      </c>
      <c r="G140" s="20">
        <v>12432</v>
      </c>
      <c r="H140" s="24">
        <f t="shared" si="14"/>
        <v>4.0218790218790219E-2</v>
      </c>
    </row>
    <row r="141" spans="1:9" ht="15" thickBot="1" x14ac:dyDescent="0.4">
      <c r="A141" s="19">
        <v>3</v>
      </c>
      <c r="B141" s="20">
        <v>301131</v>
      </c>
      <c r="C141" s="21" t="s">
        <v>34</v>
      </c>
      <c r="D141" s="20" t="s">
        <v>23</v>
      </c>
      <c r="E141" s="20">
        <v>750</v>
      </c>
      <c r="F141" s="23">
        <v>750</v>
      </c>
      <c r="G141" s="20">
        <v>6432</v>
      </c>
      <c r="H141" s="24">
        <f t="shared" si="14"/>
        <v>0.1166044776119403</v>
      </c>
    </row>
    <row r="142" spans="1:9" ht="15" thickBot="1" x14ac:dyDescent="0.4">
      <c r="A142" s="19">
        <v>5</v>
      </c>
      <c r="B142" s="20">
        <v>302764</v>
      </c>
      <c r="C142" s="21" t="s">
        <v>79</v>
      </c>
      <c r="D142" s="20" t="s">
        <v>23</v>
      </c>
      <c r="E142" s="20">
        <v>1794</v>
      </c>
      <c r="F142" s="23">
        <v>1794</v>
      </c>
      <c r="G142" s="20">
        <v>17550</v>
      </c>
      <c r="H142" s="24">
        <f t="shared" si="14"/>
        <v>0.10222222222222223</v>
      </c>
    </row>
    <row r="143" spans="1:9" ht="15" thickBot="1" x14ac:dyDescent="0.4">
      <c r="A143" s="19">
        <v>6</v>
      </c>
      <c r="B143" s="20">
        <v>304899</v>
      </c>
      <c r="C143" s="21" t="s">
        <v>84</v>
      </c>
      <c r="D143" s="20" t="s">
        <v>23</v>
      </c>
      <c r="E143" s="20">
        <v>1500</v>
      </c>
      <c r="F143" s="23">
        <v>1500</v>
      </c>
      <c r="G143" s="20">
        <v>53280</v>
      </c>
      <c r="H143" s="24">
        <f t="shared" si="14"/>
        <v>2.8153153153153154E-2</v>
      </c>
    </row>
    <row r="144" spans="1:9" ht="15" thickBot="1" x14ac:dyDescent="0.4">
      <c r="A144" s="19">
        <v>7</v>
      </c>
      <c r="B144" s="20">
        <v>304900</v>
      </c>
      <c r="C144" s="21" t="s">
        <v>61</v>
      </c>
      <c r="D144" s="20" t="s">
        <v>23</v>
      </c>
      <c r="E144" s="20">
        <v>750</v>
      </c>
      <c r="F144" s="23">
        <v>750</v>
      </c>
      <c r="G144" s="20">
        <v>41112</v>
      </c>
      <c r="H144" s="24">
        <f t="shared" si="14"/>
        <v>1.8242848803269117E-2</v>
      </c>
    </row>
    <row r="145" spans="1:9" ht="15" thickBot="1" x14ac:dyDescent="0.4">
      <c r="A145" s="19">
        <v>8</v>
      </c>
      <c r="B145" s="20">
        <v>305360</v>
      </c>
      <c r="C145" s="21" t="s">
        <v>85</v>
      </c>
      <c r="D145" s="20" t="s">
        <v>86</v>
      </c>
      <c r="E145" s="20">
        <v>50</v>
      </c>
      <c r="F145" s="23">
        <v>50</v>
      </c>
      <c r="G145" s="20">
        <v>864</v>
      </c>
      <c r="H145" s="24">
        <f t="shared" si="14"/>
        <v>5.7870370370370371E-2</v>
      </c>
    </row>
    <row r="146" spans="1:9" ht="15" thickBot="1" x14ac:dyDescent="0.4">
      <c r="A146" s="38"/>
      <c r="B146" s="21"/>
      <c r="C146" s="30" t="s">
        <v>18</v>
      </c>
      <c r="D146" s="21"/>
      <c r="E146" s="21"/>
      <c r="F146" s="31"/>
      <c r="G146" s="21"/>
      <c r="H146" s="21"/>
    </row>
    <row r="147" spans="1:9" ht="15" thickBot="1" x14ac:dyDescent="0.4">
      <c r="A147" s="32"/>
      <c r="B147" s="29" t="s">
        <v>17</v>
      </c>
      <c r="C147" s="33" t="s">
        <v>70</v>
      </c>
      <c r="D147" s="34"/>
      <c r="E147" s="34"/>
      <c r="F147" s="15"/>
      <c r="G147" s="34"/>
      <c r="H147" s="34"/>
    </row>
    <row r="148" spans="1:9" ht="15" thickBot="1" x14ac:dyDescent="0.4">
      <c r="A148" s="35"/>
      <c r="B148" s="35"/>
      <c r="C148" s="43"/>
      <c r="D148" s="35"/>
      <c r="E148" s="35"/>
      <c r="F148" s="44">
        <f>SUM(F139:F147)</f>
        <v>6844</v>
      </c>
      <c r="G148" s="35"/>
      <c r="H148" s="45">
        <f>SUM(H139:H147)</f>
        <v>0.41363392357137174</v>
      </c>
    </row>
    <row r="149" spans="1:9" ht="15" thickBot="1" x14ac:dyDescent="0.4">
      <c r="A149" s="77" t="s">
        <v>0</v>
      </c>
      <c r="B149" s="78"/>
      <c r="C149" s="79">
        <v>46147</v>
      </c>
      <c r="D149" s="80"/>
      <c r="E149" s="81" t="s">
        <v>1</v>
      </c>
      <c r="F149" s="82"/>
      <c r="G149" s="41" t="s">
        <v>2</v>
      </c>
      <c r="H149" s="2"/>
      <c r="I149" s="3"/>
    </row>
    <row r="150" spans="1:9" ht="15" thickBot="1" x14ac:dyDescent="0.4">
      <c r="A150" s="83" t="s">
        <v>3</v>
      </c>
      <c r="B150" s="84"/>
      <c r="C150" s="8" t="s">
        <v>87</v>
      </c>
      <c r="D150" s="9"/>
      <c r="E150" s="85" t="s">
        <v>5</v>
      </c>
      <c r="F150" s="86"/>
      <c r="G150" s="10">
        <v>113054</v>
      </c>
      <c r="H150" s="11"/>
      <c r="I150" s="12"/>
    </row>
    <row r="151" spans="1:9" ht="15" thickBot="1" x14ac:dyDescent="0.4">
      <c r="A151" s="13"/>
      <c r="B151" s="14" t="s">
        <v>6</v>
      </c>
      <c r="C151" s="15"/>
      <c r="D151" s="14" t="s">
        <v>7</v>
      </c>
      <c r="E151" s="16" t="s">
        <v>8</v>
      </c>
      <c r="F151" s="17" t="s">
        <v>9</v>
      </c>
      <c r="G151" s="18" t="s">
        <v>10</v>
      </c>
      <c r="H151" s="14" t="s">
        <v>11</v>
      </c>
    </row>
    <row r="152" spans="1:9" ht="15" thickBot="1" x14ac:dyDescent="0.4">
      <c r="A152" s="19">
        <v>1</v>
      </c>
      <c r="B152" s="20">
        <v>302606</v>
      </c>
      <c r="C152" s="21" t="s">
        <v>72</v>
      </c>
      <c r="D152" s="20" t="s">
        <v>23</v>
      </c>
      <c r="E152" s="20">
        <v>500</v>
      </c>
      <c r="F152" s="23">
        <v>500</v>
      </c>
      <c r="G152" s="20">
        <v>4704</v>
      </c>
      <c r="H152" s="24">
        <f t="shared" ref="H152" si="15">F152/G152</f>
        <v>0.10629251700680271</v>
      </c>
    </row>
    <row r="153" spans="1:9" ht="15" thickBot="1" x14ac:dyDescent="0.4">
      <c r="A153" s="38"/>
      <c r="B153" s="21"/>
      <c r="C153" s="30" t="s">
        <v>18</v>
      </c>
      <c r="D153" s="21"/>
      <c r="E153" s="21"/>
      <c r="F153" s="31"/>
      <c r="G153" s="21"/>
      <c r="H153" s="21"/>
    </row>
    <row r="154" spans="1:9" ht="15" thickBot="1" x14ac:dyDescent="0.4">
      <c r="A154" s="32"/>
      <c r="B154" s="29" t="s">
        <v>17</v>
      </c>
      <c r="C154" s="33" t="s">
        <v>70</v>
      </c>
      <c r="D154" s="34"/>
      <c r="E154" s="34"/>
      <c r="F154" s="15"/>
      <c r="G154" s="34"/>
      <c r="H154" s="34"/>
    </row>
    <row r="155" spans="1:9" ht="15" thickBot="1" x14ac:dyDescent="0.4">
      <c r="A155" s="35"/>
      <c r="B155" s="35"/>
      <c r="C155" s="43"/>
      <c r="D155" s="35"/>
      <c r="E155" s="35"/>
      <c r="F155" s="44">
        <f>SUM(F152:F154)</f>
        <v>500</v>
      </c>
      <c r="G155" s="35"/>
      <c r="H155" s="45">
        <f>SUM(H152:H154)</f>
        <v>0.10629251700680271</v>
      </c>
    </row>
    <row r="156" spans="1:9" ht="15" thickBot="1" x14ac:dyDescent="0.4">
      <c r="A156" s="77" t="s">
        <v>0</v>
      </c>
      <c r="B156" s="78"/>
      <c r="C156" s="79">
        <v>46162</v>
      </c>
      <c r="D156" s="80"/>
      <c r="E156" s="81" t="s">
        <v>1</v>
      </c>
      <c r="F156" s="82"/>
      <c r="G156" s="41" t="s">
        <v>88</v>
      </c>
      <c r="H156" s="2"/>
      <c r="I156" s="3"/>
    </row>
    <row r="157" spans="1:9" ht="15" thickBot="1" x14ac:dyDescent="0.4">
      <c r="A157" s="83" t="s">
        <v>3</v>
      </c>
      <c r="B157" s="84"/>
      <c r="C157" s="8" t="s">
        <v>89</v>
      </c>
      <c r="D157" s="9"/>
      <c r="E157" s="85" t="s">
        <v>5</v>
      </c>
      <c r="F157" s="86"/>
      <c r="G157" s="10">
        <v>113084</v>
      </c>
      <c r="H157" s="11"/>
      <c r="I157" s="12"/>
    </row>
    <row r="158" spans="1:9" ht="15" thickBot="1" x14ac:dyDescent="0.4">
      <c r="A158" s="13"/>
      <c r="B158" s="14" t="s">
        <v>6</v>
      </c>
      <c r="C158" s="15"/>
      <c r="D158" s="14" t="s">
        <v>7</v>
      </c>
      <c r="E158" s="16" t="s">
        <v>8</v>
      </c>
      <c r="F158" s="17" t="s">
        <v>9</v>
      </c>
      <c r="G158" s="18" t="s">
        <v>10</v>
      </c>
      <c r="H158" s="14" t="s">
        <v>11</v>
      </c>
    </row>
    <row r="159" spans="1:9" ht="15" thickBot="1" x14ac:dyDescent="0.4">
      <c r="A159" s="19">
        <v>1</v>
      </c>
      <c r="B159" s="20">
        <v>306542</v>
      </c>
      <c r="C159" s="21" t="s">
        <v>90</v>
      </c>
      <c r="D159" s="20" t="s">
        <v>28</v>
      </c>
      <c r="E159" s="20">
        <v>200</v>
      </c>
      <c r="F159" s="23">
        <v>200</v>
      </c>
      <c r="G159" s="20">
        <v>29952</v>
      </c>
      <c r="H159" s="24">
        <f t="shared" ref="H159:H162" si="16">F159/G159</f>
        <v>6.677350427350427E-3</v>
      </c>
    </row>
    <row r="160" spans="1:9" ht="15" thickBot="1" x14ac:dyDescent="0.4">
      <c r="A160" s="19">
        <v>2</v>
      </c>
      <c r="B160" s="20">
        <v>306543</v>
      </c>
      <c r="C160" s="21" t="s">
        <v>91</v>
      </c>
      <c r="D160" s="20" t="s">
        <v>28</v>
      </c>
      <c r="E160" s="20">
        <v>140</v>
      </c>
      <c r="F160" s="23">
        <v>140</v>
      </c>
      <c r="G160" s="20">
        <v>17712</v>
      </c>
      <c r="H160" s="24">
        <f t="shared" si="16"/>
        <v>7.9042457091237587E-3</v>
      </c>
    </row>
    <row r="161" spans="1:9" ht="15" thickBot="1" x14ac:dyDescent="0.4">
      <c r="A161" s="19">
        <v>3</v>
      </c>
      <c r="B161" s="20">
        <v>306544</v>
      </c>
      <c r="C161" s="21" t="s">
        <v>92</v>
      </c>
      <c r="D161" s="20" t="s">
        <v>28</v>
      </c>
      <c r="E161" s="20">
        <v>100</v>
      </c>
      <c r="F161" s="23">
        <v>100</v>
      </c>
      <c r="G161" s="20">
        <v>11520</v>
      </c>
      <c r="H161" s="24">
        <f t="shared" si="16"/>
        <v>8.6805555555555559E-3</v>
      </c>
    </row>
    <row r="162" spans="1:9" ht="15" thickBot="1" x14ac:dyDescent="0.4">
      <c r="A162" s="19">
        <v>4</v>
      </c>
      <c r="B162" s="20">
        <v>306682</v>
      </c>
      <c r="C162" s="21" t="s">
        <v>93</v>
      </c>
      <c r="D162" s="20" t="s">
        <v>94</v>
      </c>
      <c r="E162" s="20">
        <v>4</v>
      </c>
      <c r="F162" s="23">
        <v>4</v>
      </c>
      <c r="G162" s="20">
        <v>16</v>
      </c>
      <c r="H162" s="24">
        <f t="shared" si="16"/>
        <v>0.25</v>
      </c>
    </row>
    <row r="163" spans="1:9" ht="29.5" thickBot="1" x14ac:dyDescent="0.4">
      <c r="A163" s="38"/>
      <c r="B163" s="53" t="s">
        <v>17</v>
      </c>
      <c r="C163" s="30" t="s">
        <v>95</v>
      </c>
      <c r="D163" s="21"/>
      <c r="E163" s="21"/>
      <c r="F163" s="31"/>
      <c r="G163" s="21"/>
      <c r="H163" s="21"/>
    </row>
    <row r="164" spans="1:9" ht="15" thickBot="1" x14ac:dyDescent="0.4">
      <c r="A164" s="32"/>
      <c r="B164" s="29" t="s">
        <v>17</v>
      </c>
      <c r="C164" s="33" t="s">
        <v>19</v>
      </c>
      <c r="D164" s="34"/>
      <c r="E164" s="34"/>
      <c r="F164" s="15"/>
      <c r="G164" s="34"/>
      <c r="H164" s="34"/>
    </row>
    <row r="165" spans="1:9" ht="15" thickBot="1" x14ac:dyDescent="0.4">
      <c r="A165" s="35"/>
      <c r="B165" s="35"/>
      <c r="C165" s="43"/>
      <c r="D165" s="35"/>
      <c r="E165" s="35"/>
      <c r="F165" s="44">
        <f>SUM(F159:F164)</f>
        <v>444</v>
      </c>
      <c r="G165" s="35"/>
      <c r="H165" s="45">
        <f>SUM(H159:H164)</f>
        <v>0.27326215169202972</v>
      </c>
    </row>
    <row r="166" spans="1:9" ht="15" thickBot="1" x14ac:dyDescent="0.4">
      <c r="A166" s="77" t="s">
        <v>0</v>
      </c>
      <c r="B166" s="78"/>
      <c r="C166" s="79">
        <v>46163</v>
      </c>
      <c r="D166" s="80"/>
      <c r="E166" s="81" t="s">
        <v>1</v>
      </c>
      <c r="F166" s="82"/>
      <c r="G166" s="41" t="s">
        <v>2</v>
      </c>
      <c r="H166" s="2"/>
      <c r="I166" s="3"/>
    </row>
    <row r="167" spans="1:9" ht="15" thickBot="1" x14ac:dyDescent="0.4">
      <c r="A167" s="83" t="s">
        <v>3</v>
      </c>
      <c r="B167" s="84"/>
      <c r="C167" s="8" t="s">
        <v>96</v>
      </c>
      <c r="D167" s="9"/>
      <c r="E167" s="85" t="s">
        <v>5</v>
      </c>
      <c r="F167" s="86"/>
      <c r="G167" s="10">
        <v>113088</v>
      </c>
      <c r="H167" s="11"/>
      <c r="I167" s="12"/>
    </row>
    <row r="168" spans="1:9" ht="15" thickBot="1" x14ac:dyDescent="0.4">
      <c r="A168" s="13"/>
      <c r="B168" s="14" t="s">
        <v>6</v>
      </c>
      <c r="C168" s="15"/>
      <c r="D168" s="14" t="s">
        <v>7</v>
      </c>
      <c r="E168" s="16" t="s">
        <v>8</v>
      </c>
      <c r="F168" s="17" t="s">
        <v>9</v>
      </c>
      <c r="G168" s="18" t="s">
        <v>10</v>
      </c>
      <c r="H168" s="14" t="s">
        <v>11</v>
      </c>
    </row>
    <row r="169" spans="1:9" ht="15" thickBot="1" x14ac:dyDescent="0.4">
      <c r="A169" s="19">
        <v>1</v>
      </c>
      <c r="B169" s="20">
        <v>901325</v>
      </c>
      <c r="C169" s="21" t="s">
        <v>97</v>
      </c>
      <c r="D169" s="20" t="s">
        <v>28</v>
      </c>
      <c r="E169" s="20">
        <v>500</v>
      </c>
      <c r="F169" s="23">
        <v>500</v>
      </c>
      <c r="G169" s="20">
        <v>2205</v>
      </c>
      <c r="H169" s="24">
        <f t="shared" ref="H169:H171" si="17">F169/G169</f>
        <v>0.22675736961451248</v>
      </c>
    </row>
    <row r="170" spans="1:9" ht="15" thickBot="1" x14ac:dyDescent="0.4">
      <c r="A170" s="19">
        <v>2</v>
      </c>
      <c r="B170" s="20">
        <v>901327</v>
      </c>
      <c r="C170" s="21" t="s">
        <v>98</v>
      </c>
      <c r="D170" s="20" t="s">
        <v>28</v>
      </c>
      <c r="E170" s="20">
        <v>750</v>
      </c>
      <c r="F170" s="23">
        <v>750</v>
      </c>
      <c r="G170" s="20">
        <v>1260</v>
      </c>
      <c r="H170" s="24">
        <f t="shared" si="17"/>
        <v>0.59523809523809523</v>
      </c>
    </row>
    <row r="171" spans="1:9" ht="15" thickBot="1" x14ac:dyDescent="0.4">
      <c r="A171" s="19">
        <v>3</v>
      </c>
      <c r="B171" s="20">
        <v>901329</v>
      </c>
      <c r="C171" s="21" t="s">
        <v>44</v>
      </c>
      <c r="D171" s="20" t="s">
        <v>28</v>
      </c>
      <c r="E171" s="20">
        <v>300</v>
      </c>
      <c r="F171" s="23">
        <v>262</v>
      </c>
      <c r="G171" s="20">
        <v>528</v>
      </c>
      <c r="H171" s="24">
        <f t="shared" si="17"/>
        <v>0.49621212121212122</v>
      </c>
    </row>
    <row r="172" spans="1:9" ht="15" thickBot="1" x14ac:dyDescent="0.4">
      <c r="A172" s="38"/>
      <c r="B172" s="53" t="s">
        <v>17</v>
      </c>
      <c r="C172" s="30" t="s">
        <v>18</v>
      </c>
      <c r="D172" s="21"/>
      <c r="E172" s="21"/>
      <c r="F172" s="31"/>
      <c r="G172" s="21"/>
      <c r="H172" s="21"/>
    </row>
    <row r="173" spans="1:9" ht="15" thickBot="1" x14ac:dyDescent="0.4">
      <c r="A173" s="32"/>
      <c r="B173" s="29" t="s">
        <v>17</v>
      </c>
      <c r="C173" s="33" t="s">
        <v>19</v>
      </c>
      <c r="D173" s="34"/>
      <c r="E173" s="34"/>
      <c r="F173" s="15"/>
      <c r="G173" s="34"/>
      <c r="H173" s="34"/>
    </row>
    <row r="174" spans="1:9" ht="15" thickBot="1" x14ac:dyDescent="0.4">
      <c r="A174" s="35"/>
      <c r="B174" s="35"/>
      <c r="C174" s="43"/>
      <c r="D174" s="35"/>
      <c r="E174" s="35"/>
      <c r="F174" s="44">
        <f>SUM(F169:F173)</f>
        <v>1512</v>
      </c>
      <c r="G174" s="35"/>
      <c r="H174" s="45">
        <f>SUM(H169:H173)</f>
        <v>1.3182075860647289</v>
      </c>
    </row>
    <row r="175" spans="1:9" ht="15" thickBot="1" x14ac:dyDescent="0.4">
      <c r="A175" s="77" t="s">
        <v>0</v>
      </c>
      <c r="B175" s="78"/>
      <c r="C175" s="79">
        <v>46163</v>
      </c>
      <c r="D175" s="80"/>
      <c r="E175" s="81" t="s">
        <v>1</v>
      </c>
      <c r="F175" s="82"/>
      <c r="G175" s="41" t="s">
        <v>2</v>
      </c>
      <c r="H175" s="2"/>
      <c r="I175" s="3"/>
    </row>
    <row r="176" spans="1:9" ht="15" thickBot="1" x14ac:dyDescent="0.4">
      <c r="A176" s="83" t="s">
        <v>3</v>
      </c>
      <c r="B176" s="84"/>
      <c r="C176" s="8" t="s">
        <v>99</v>
      </c>
      <c r="D176" s="9"/>
      <c r="E176" s="85" t="s">
        <v>5</v>
      </c>
      <c r="F176" s="86"/>
      <c r="G176" s="10">
        <v>113088</v>
      </c>
      <c r="H176" s="11"/>
      <c r="I176" s="12"/>
    </row>
    <row r="177" spans="1:9" ht="15" thickBot="1" x14ac:dyDescent="0.4">
      <c r="A177" s="13"/>
      <c r="B177" s="14" t="s">
        <v>6</v>
      </c>
      <c r="C177" s="15"/>
      <c r="D177" s="14" t="s">
        <v>7</v>
      </c>
      <c r="E177" s="16" t="s">
        <v>8</v>
      </c>
      <c r="F177" s="17" t="s">
        <v>9</v>
      </c>
      <c r="G177" s="18" t="s">
        <v>10</v>
      </c>
      <c r="H177" s="14" t="s">
        <v>11</v>
      </c>
    </row>
    <row r="178" spans="1:9" ht="15" thickBot="1" x14ac:dyDescent="0.4">
      <c r="A178" s="19">
        <v>1</v>
      </c>
      <c r="B178" s="20">
        <v>305979</v>
      </c>
      <c r="C178" s="21" t="s">
        <v>97</v>
      </c>
      <c r="D178" s="20" t="s">
        <v>23</v>
      </c>
      <c r="E178" s="20">
        <v>100</v>
      </c>
      <c r="F178" s="23">
        <v>30</v>
      </c>
      <c r="G178" s="20">
        <v>1040</v>
      </c>
      <c r="H178" s="24">
        <f t="shared" ref="H178" si="18">F178/G178</f>
        <v>2.8846153846153848E-2</v>
      </c>
    </row>
    <row r="179" spans="1:9" ht="15" thickBot="1" x14ac:dyDescent="0.4">
      <c r="A179" s="38"/>
      <c r="B179" s="53" t="s">
        <v>17</v>
      </c>
      <c r="C179" s="30" t="s">
        <v>18</v>
      </c>
      <c r="D179" s="21"/>
      <c r="E179" s="21"/>
      <c r="F179" s="31"/>
      <c r="G179" s="21"/>
      <c r="H179" s="21"/>
    </row>
    <row r="180" spans="1:9" ht="15" thickBot="1" x14ac:dyDescent="0.4">
      <c r="A180" s="28"/>
      <c r="B180" s="53" t="s">
        <v>17</v>
      </c>
      <c r="C180" s="30" t="s">
        <v>80</v>
      </c>
      <c r="D180" s="21"/>
      <c r="E180" s="21"/>
      <c r="F180" s="31"/>
      <c r="G180" s="21"/>
      <c r="H180" s="21"/>
    </row>
    <row r="181" spans="1:9" ht="15" thickBot="1" x14ac:dyDescent="0.4">
      <c r="A181" s="32"/>
      <c r="B181" s="29" t="s">
        <v>17</v>
      </c>
      <c r="C181" s="33" t="s">
        <v>19</v>
      </c>
      <c r="D181" s="34"/>
      <c r="E181" s="34"/>
      <c r="F181" s="15"/>
      <c r="G181" s="34"/>
      <c r="H181" s="34"/>
    </row>
    <row r="182" spans="1:9" ht="15" thickBot="1" x14ac:dyDescent="0.4">
      <c r="A182" s="35"/>
      <c r="B182" s="35"/>
      <c r="C182" s="43"/>
      <c r="D182" s="35"/>
      <c r="E182" s="35"/>
      <c r="F182" s="44">
        <f>SUM(F178:F181)</f>
        <v>30</v>
      </c>
      <c r="G182" s="35"/>
      <c r="H182" s="45">
        <f>SUM(H178:H181)</f>
        <v>2.8846153846153848E-2</v>
      </c>
    </row>
    <row r="183" spans="1:9" ht="15" thickBot="1" x14ac:dyDescent="0.4">
      <c r="A183" s="77" t="s">
        <v>0</v>
      </c>
      <c r="B183" s="78"/>
      <c r="C183" s="79">
        <v>46163</v>
      </c>
      <c r="D183" s="80"/>
      <c r="E183" s="81" t="s">
        <v>1</v>
      </c>
      <c r="F183" s="82"/>
      <c r="G183" s="41" t="s">
        <v>2</v>
      </c>
      <c r="H183" s="2"/>
      <c r="I183" s="3"/>
    </row>
    <row r="184" spans="1:9" ht="15" thickBot="1" x14ac:dyDescent="0.4">
      <c r="A184" s="83" t="s">
        <v>3</v>
      </c>
      <c r="B184" s="84"/>
      <c r="C184" s="8" t="s">
        <v>100</v>
      </c>
      <c r="D184" s="9"/>
      <c r="E184" s="85" t="s">
        <v>5</v>
      </c>
      <c r="F184" s="86"/>
      <c r="G184" s="10">
        <v>113088</v>
      </c>
      <c r="H184" s="11"/>
      <c r="I184" s="12"/>
    </row>
    <row r="185" spans="1:9" ht="15" thickBot="1" x14ac:dyDescent="0.4">
      <c r="A185" s="13"/>
      <c r="B185" s="14" t="s">
        <v>6</v>
      </c>
      <c r="C185" s="15"/>
      <c r="D185" s="14" t="s">
        <v>7</v>
      </c>
      <c r="E185" s="16" t="s">
        <v>8</v>
      </c>
      <c r="F185" s="17" t="s">
        <v>9</v>
      </c>
      <c r="G185" s="18" t="s">
        <v>10</v>
      </c>
      <c r="H185" s="14" t="s">
        <v>11</v>
      </c>
    </row>
    <row r="186" spans="1:9" ht="15" thickBot="1" x14ac:dyDescent="0.4">
      <c r="A186" s="19">
        <v>1</v>
      </c>
      <c r="B186" s="20">
        <v>302606</v>
      </c>
      <c r="C186" s="21" t="s">
        <v>72</v>
      </c>
      <c r="D186" s="20" t="s">
        <v>23</v>
      </c>
      <c r="E186" s="20">
        <v>250</v>
      </c>
      <c r="F186" s="23">
        <v>250</v>
      </c>
      <c r="G186" s="20">
        <v>4704</v>
      </c>
      <c r="H186" s="24">
        <f t="shared" ref="H186" si="19">F186/G186</f>
        <v>5.3146258503401357E-2</v>
      </c>
    </row>
    <row r="187" spans="1:9" ht="15" thickBot="1" x14ac:dyDescent="0.4">
      <c r="A187" s="38"/>
      <c r="B187" s="53" t="s">
        <v>17</v>
      </c>
      <c r="C187" s="30" t="s">
        <v>18</v>
      </c>
      <c r="D187" s="21"/>
      <c r="E187" s="21"/>
      <c r="F187" s="31"/>
      <c r="G187" s="21"/>
      <c r="H187" s="21"/>
    </row>
    <row r="188" spans="1:9" ht="15" thickBot="1" x14ac:dyDescent="0.4">
      <c r="A188" s="32"/>
      <c r="B188" s="29" t="s">
        <v>17</v>
      </c>
      <c r="C188" s="33" t="s">
        <v>19</v>
      </c>
      <c r="D188" s="34"/>
      <c r="E188" s="34"/>
      <c r="F188" s="15"/>
      <c r="G188" s="34"/>
      <c r="H188" s="34"/>
    </row>
    <row r="189" spans="1:9" ht="15" thickBot="1" x14ac:dyDescent="0.4">
      <c r="A189" s="35"/>
      <c r="B189" s="35"/>
      <c r="C189" s="43"/>
      <c r="D189" s="35"/>
      <c r="E189" s="35"/>
      <c r="F189" s="44">
        <f>SUM(F186:F188)</f>
        <v>250</v>
      </c>
      <c r="G189" s="35"/>
      <c r="H189" s="45">
        <f>SUM(H186:H188)</f>
        <v>5.3146258503401357E-2</v>
      </c>
    </row>
    <row r="190" spans="1:9" ht="15" thickBot="1" x14ac:dyDescent="0.4">
      <c r="A190" s="77" t="s">
        <v>0</v>
      </c>
      <c r="B190" s="78"/>
      <c r="C190" s="79">
        <v>46176</v>
      </c>
      <c r="D190" s="80"/>
      <c r="E190" s="81" t="s">
        <v>1</v>
      </c>
      <c r="F190" s="82"/>
      <c r="G190" s="41" t="s">
        <v>2</v>
      </c>
      <c r="H190" s="2"/>
      <c r="I190" s="3"/>
    </row>
    <row r="191" spans="1:9" ht="15" thickBot="1" x14ac:dyDescent="0.4">
      <c r="A191" s="83" t="s">
        <v>3</v>
      </c>
      <c r="B191" s="84"/>
      <c r="C191" s="8" t="s">
        <v>107</v>
      </c>
      <c r="D191" s="9"/>
      <c r="E191" s="85" t="s">
        <v>5</v>
      </c>
      <c r="F191" s="86"/>
      <c r="G191" s="10">
        <v>112953</v>
      </c>
      <c r="H191" s="11"/>
      <c r="I191" s="12"/>
    </row>
    <row r="192" spans="1:9" ht="15" thickBot="1" x14ac:dyDescent="0.4">
      <c r="A192" s="13"/>
      <c r="B192" s="14" t="s">
        <v>6</v>
      </c>
      <c r="C192" s="15"/>
      <c r="D192" s="14" t="s">
        <v>7</v>
      </c>
      <c r="E192" s="16" t="s">
        <v>8</v>
      </c>
      <c r="F192" s="17" t="s">
        <v>9</v>
      </c>
      <c r="G192" s="18" t="s">
        <v>10</v>
      </c>
      <c r="H192" s="14" t="s">
        <v>11</v>
      </c>
    </row>
    <row r="193" spans="1:9" ht="15" thickBot="1" x14ac:dyDescent="0.4">
      <c r="A193" s="19">
        <v>1</v>
      </c>
      <c r="B193" s="20">
        <v>306535</v>
      </c>
      <c r="C193" s="21" t="s">
        <v>108</v>
      </c>
      <c r="D193" s="20" t="s">
        <v>23</v>
      </c>
      <c r="E193" s="20">
        <v>80</v>
      </c>
      <c r="F193" s="23">
        <v>80</v>
      </c>
      <c r="G193" s="20">
        <v>9380</v>
      </c>
      <c r="H193" s="24">
        <f t="shared" ref="H193" si="20">F193/G193</f>
        <v>8.5287846481876331E-3</v>
      </c>
    </row>
    <row r="194" spans="1:9" ht="15" thickBot="1" x14ac:dyDescent="0.4">
      <c r="A194" s="38"/>
      <c r="B194" s="53" t="s">
        <v>17</v>
      </c>
      <c r="C194" s="30" t="s">
        <v>18</v>
      </c>
      <c r="D194" s="21"/>
      <c r="E194" s="21"/>
      <c r="F194" s="31"/>
      <c r="G194" s="21"/>
      <c r="H194" s="21"/>
    </row>
    <row r="195" spans="1:9" ht="15" thickBot="1" x14ac:dyDescent="0.4">
      <c r="A195" s="54"/>
      <c r="B195" s="55" t="s">
        <v>17</v>
      </c>
      <c r="C195" s="33" t="s">
        <v>19</v>
      </c>
      <c r="D195" s="34"/>
      <c r="E195" s="34"/>
      <c r="F195" s="15"/>
      <c r="G195" s="34"/>
      <c r="H195" s="34"/>
    </row>
    <row r="196" spans="1:9" ht="15" thickBot="1" x14ac:dyDescent="0.4">
      <c r="A196" s="35"/>
      <c r="B196" s="35"/>
      <c r="C196" s="43"/>
      <c r="D196" s="35"/>
      <c r="E196" s="35"/>
      <c r="F196" s="44">
        <f>SUM(F193:F195)</f>
        <v>80</v>
      </c>
      <c r="G196" s="35"/>
      <c r="H196" s="45">
        <f>SUM(H193:H195)</f>
        <v>8.5287846481876331E-3</v>
      </c>
    </row>
    <row r="197" spans="1:9" ht="15" thickBot="1" x14ac:dyDescent="0.4">
      <c r="A197" s="77" t="s">
        <v>0</v>
      </c>
      <c r="B197" s="78"/>
      <c r="C197" s="79">
        <v>46176</v>
      </c>
      <c r="D197" s="80"/>
      <c r="E197" s="81" t="s">
        <v>1</v>
      </c>
      <c r="F197" s="82"/>
      <c r="G197" s="41" t="s">
        <v>2</v>
      </c>
      <c r="H197" s="2"/>
      <c r="I197" s="3"/>
    </row>
    <row r="198" spans="1:9" ht="15" thickBot="1" x14ac:dyDescent="0.4">
      <c r="A198" s="83" t="s">
        <v>3</v>
      </c>
      <c r="B198" s="84"/>
      <c r="C198" s="8" t="s">
        <v>109</v>
      </c>
      <c r="D198" s="9"/>
      <c r="E198" s="85" t="s">
        <v>5</v>
      </c>
      <c r="F198" s="86"/>
      <c r="G198" s="10">
        <v>113106</v>
      </c>
      <c r="H198" s="11"/>
      <c r="I198" s="12"/>
    </row>
    <row r="199" spans="1:9" ht="15" thickBot="1" x14ac:dyDescent="0.4">
      <c r="A199" s="13"/>
      <c r="B199" s="14" t="s">
        <v>6</v>
      </c>
      <c r="C199" s="15"/>
      <c r="D199" s="14" t="s">
        <v>7</v>
      </c>
      <c r="E199" s="16" t="s">
        <v>8</v>
      </c>
      <c r="F199" s="17" t="s">
        <v>9</v>
      </c>
      <c r="G199" s="18" t="s">
        <v>10</v>
      </c>
      <c r="H199" s="14" t="s">
        <v>11</v>
      </c>
    </row>
    <row r="200" spans="1:9" ht="15" thickBot="1" x14ac:dyDescent="0.4">
      <c r="A200" s="19">
        <v>1</v>
      </c>
      <c r="B200" s="20">
        <v>302268</v>
      </c>
      <c r="C200" s="21" t="s">
        <v>110</v>
      </c>
      <c r="D200" s="20" t="s">
        <v>28</v>
      </c>
      <c r="E200" s="20">
        <v>500</v>
      </c>
      <c r="F200" s="23">
        <v>500</v>
      </c>
      <c r="G200" s="20">
        <v>13020</v>
      </c>
      <c r="H200" s="24">
        <f t="shared" ref="H200:H201" si="21">F200/G200</f>
        <v>3.840245775729647E-2</v>
      </c>
    </row>
    <row r="201" spans="1:9" ht="29.5" thickBot="1" x14ac:dyDescent="0.4">
      <c r="A201" s="19">
        <v>2</v>
      </c>
      <c r="B201" s="20">
        <v>303262</v>
      </c>
      <c r="C201" s="21" t="s">
        <v>111</v>
      </c>
      <c r="D201" s="20" t="s">
        <v>23</v>
      </c>
      <c r="E201" s="20">
        <v>3</v>
      </c>
      <c r="F201" s="23">
        <v>3</v>
      </c>
      <c r="G201" s="20">
        <v>28</v>
      </c>
      <c r="H201" s="24">
        <f t="shared" si="21"/>
        <v>0.10714285714285714</v>
      </c>
    </row>
    <row r="202" spans="1:9" ht="15" thickBot="1" x14ac:dyDescent="0.4">
      <c r="A202" s="38"/>
      <c r="B202" s="53" t="s">
        <v>17</v>
      </c>
      <c r="C202" s="30" t="s">
        <v>18</v>
      </c>
      <c r="D202" s="21"/>
      <c r="E202" s="21"/>
      <c r="F202" s="31"/>
      <c r="G202" s="21"/>
      <c r="H202" s="21"/>
    </row>
    <row r="203" spans="1:9" ht="15" thickBot="1" x14ac:dyDescent="0.4">
      <c r="A203" s="54"/>
      <c r="B203" s="55" t="s">
        <v>17</v>
      </c>
      <c r="C203" s="33" t="s">
        <v>19</v>
      </c>
      <c r="D203" s="34"/>
      <c r="E203" s="34"/>
      <c r="F203" s="15"/>
      <c r="G203" s="34"/>
      <c r="H203" s="34"/>
    </row>
    <row r="204" spans="1:9" ht="15" thickBot="1" x14ac:dyDescent="0.4">
      <c r="A204" s="35"/>
      <c r="B204" s="35"/>
      <c r="C204" s="43"/>
      <c r="D204" s="35"/>
      <c r="E204" s="35"/>
      <c r="F204" s="44">
        <f>SUM(F200:F203)</f>
        <v>503</v>
      </c>
      <c r="G204" s="35"/>
      <c r="H204" s="45">
        <f>SUM(H200:H203)</f>
        <v>0.1455453149001536</v>
      </c>
    </row>
    <row r="205" spans="1:9" ht="15" thickBot="1" x14ac:dyDescent="0.4">
      <c r="A205" s="77" t="s">
        <v>0</v>
      </c>
      <c r="B205" s="78"/>
      <c r="C205" s="79">
        <v>46176</v>
      </c>
      <c r="D205" s="80"/>
      <c r="E205" s="81" t="s">
        <v>1</v>
      </c>
      <c r="F205" s="82"/>
      <c r="G205" s="41" t="s">
        <v>2</v>
      </c>
      <c r="H205" s="2"/>
      <c r="I205" s="3"/>
    </row>
    <row r="206" spans="1:9" ht="15" thickBot="1" x14ac:dyDescent="0.4">
      <c r="A206" s="83" t="s">
        <v>3</v>
      </c>
      <c r="B206" s="84"/>
      <c r="C206" s="8" t="s">
        <v>112</v>
      </c>
      <c r="D206" s="9"/>
      <c r="E206" s="85" t="s">
        <v>5</v>
      </c>
      <c r="F206" s="86"/>
      <c r="G206" s="10">
        <v>113106</v>
      </c>
      <c r="H206" s="11"/>
      <c r="I206" s="12"/>
    </row>
    <row r="207" spans="1:9" ht="15" thickBot="1" x14ac:dyDescent="0.4">
      <c r="A207" s="13"/>
      <c r="B207" s="14" t="s">
        <v>6</v>
      </c>
      <c r="C207" s="15"/>
      <c r="D207" s="14" t="s">
        <v>7</v>
      </c>
      <c r="E207" s="16" t="s">
        <v>8</v>
      </c>
      <c r="F207" s="17" t="s">
        <v>9</v>
      </c>
      <c r="G207" s="18" t="s">
        <v>10</v>
      </c>
      <c r="H207" s="14" t="s">
        <v>11</v>
      </c>
    </row>
    <row r="208" spans="1:9" ht="15" thickBot="1" x14ac:dyDescent="0.4">
      <c r="A208" s="19">
        <v>1</v>
      </c>
      <c r="B208" s="20">
        <v>305644</v>
      </c>
      <c r="C208" s="21" t="s">
        <v>106</v>
      </c>
      <c r="D208" s="20" t="s">
        <v>23</v>
      </c>
      <c r="E208" s="20">
        <v>75</v>
      </c>
      <c r="F208" s="23">
        <v>75</v>
      </c>
      <c r="G208" s="20">
        <v>588</v>
      </c>
      <c r="H208" s="24">
        <f t="shared" ref="H208" si="22">F208/G208</f>
        <v>0.12755102040816327</v>
      </c>
    </row>
    <row r="209" spans="1:9" ht="15" thickBot="1" x14ac:dyDescent="0.4">
      <c r="A209" s="38"/>
      <c r="B209" s="53" t="s">
        <v>17</v>
      </c>
      <c r="C209" s="30" t="s">
        <v>18</v>
      </c>
      <c r="D209" s="21"/>
      <c r="E209" s="21"/>
      <c r="F209" s="31"/>
      <c r="G209" s="21"/>
      <c r="H209" s="21"/>
    </row>
    <row r="210" spans="1:9" ht="15" thickBot="1" x14ac:dyDescent="0.4">
      <c r="A210" s="54"/>
      <c r="B210" s="55" t="s">
        <v>17</v>
      </c>
      <c r="C210" s="33" t="s">
        <v>19</v>
      </c>
      <c r="D210" s="34"/>
      <c r="E210" s="34"/>
      <c r="F210" s="15"/>
      <c r="G210" s="34"/>
      <c r="H210" s="34"/>
    </row>
    <row r="211" spans="1:9" ht="15" thickBot="1" x14ac:dyDescent="0.4">
      <c r="A211" s="35"/>
      <c r="B211" s="35"/>
      <c r="C211" s="43"/>
      <c r="D211" s="35"/>
      <c r="E211" s="35"/>
      <c r="F211" s="44">
        <f>SUM(F208:F210)</f>
        <v>75</v>
      </c>
      <c r="G211" s="35"/>
      <c r="H211" s="45">
        <f>SUM(H208:H210)</f>
        <v>0.12755102040816327</v>
      </c>
    </row>
    <row r="212" spans="1:9" ht="15" thickBot="1" x14ac:dyDescent="0.4">
      <c r="A212" s="77" t="s">
        <v>0</v>
      </c>
      <c r="B212" s="78"/>
      <c r="C212" s="79">
        <v>46176</v>
      </c>
      <c r="D212" s="80"/>
      <c r="E212" s="81" t="s">
        <v>1</v>
      </c>
      <c r="F212" s="82"/>
      <c r="G212" s="41" t="s">
        <v>2</v>
      </c>
      <c r="H212" s="2"/>
      <c r="I212" s="3"/>
    </row>
    <row r="213" spans="1:9" ht="15" thickBot="1" x14ac:dyDescent="0.4">
      <c r="A213" s="83" t="s">
        <v>3</v>
      </c>
      <c r="B213" s="84"/>
      <c r="C213" s="8" t="s">
        <v>113</v>
      </c>
      <c r="D213" s="9"/>
      <c r="E213" s="85" t="s">
        <v>5</v>
      </c>
      <c r="F213" s="86"/>
      <c r="G213" s="10">
        <v>113106</v>
      </c>
      <c r="H213" s="11"/>
      <c r="I213" s="12"/>
    </row>
    <row r="214" spans="1:9" ht="15" thickBot="1" x14ac:dyDescent="0.4">
      <c r="A214" s="13"/>
      <c r="B214" s="14" t="s">
        <v>6</v>
      </c>
      <c r="C214" s="15"/>
      <c r="D214" s="14" t="s">
        <v>7</v>
      </c>
      <c r="E214" s="16" t="s">
        <v>8</v>
      </c>
      <c r="F214" s="17" t="s">
        <v>9</v>
      </c>
      <c r="G214" s="18" t="s">
        <v>10</v>
      </c>
      <c r="H214" s="14" t="s">
        <v>11</v>
      </c>
    </row>
    <row r="215" spans="1:9" ht="15" thickBot="1" x14ac:dyDescent="0.4">
      <c r="A215" s="19">
        <v>1</v>
      </c>
      <c r="B215" s="20">
        <v>306535</v>
      </c>
      <c r="C215" s="21" t="s">
        <v>108</v>
      </c>
      <c r="D215" s="20" t="s">
        <v>23</v>
      </c>
      <c r="E215" s="20">
        <v>20</v>
      </c>
      <c r="F215" s="23">
        <v>20</v>
      </c>
      <c r="G215" s="20">
        <v>9380</v>
      </c>
      <c r="H215" s="24">
        <f t="shared" ref="H215" si="23">F215/G215</f>
        <v>2.1321961620469083E-3</v>
      </c>
    </row>
    <row r="216" spans="1:9" ht="15" thickBot="1" x14ac:dyDescent="0.4">
      <c r="A216" s="38"/>
      <c r="B216" s="53" t="s">
        <v>17</v>
      </c>
      <c r="C216" s="30" t="s">
        <v>18</v>
      </c>
      <c r="D216" s="21"/>
      <c r="E216" s="21"/>
      <c r="F216" s="31"/>
      <c r="G216" s="21"/>
      <c r="H216" s="21"/>
    </row>
    <row r="217" spans="1:9" ht="15" thickBot="1" x14ac:dyDescent="0.4">
      <c r="A217" s="54"/>
      <c r="B217" s="55" t="s">
        <v>17</v>
      </c>
      <c r="C217" s="33" t="s">
        <v>19</v>
      </c>
      <c r="D217" s="34"/>
      <c r="E217" s="34"/>
      <c r="F217" s="15"/>
      <c r="G217" s="34"/>
      <c r="H217" s="34"/>
    </row>
    <row r="218" spans="1:9" ht="15" thickBot="1" x14ac:dyDescent="0.4">
      <c r="A218" s="35"/>
      <c r="B218" s="35"/>
      <c r="C218" s="43"/>
      <c r="D218" s="35"/>
      <c r="E218" s="35"/>
      <c r="F218" s="44">
        <f>SUM(F215:F217)</f>
        <v>20</v>
      </c>
      <c r="G218" s="35"/>
      <c r="H218" s="45">
        <f>SUM(H215:H217)</f>
        <v>2.1321961620469083E-3</v>
      </c>
    </row>
    <row r="219" spans="1:9" ht="15" thickBot="1" x14ac:dyDescent="0.4">
      <c r="A219" s="77" t="s">
        <v>0</v>
      </c>
      <c r="B219" s="78"/>
      <c r="C219" s="79">
        <v>46176</v>
      </c>
      <c r="D219" s="80"/>
      <c r="E219" s="81" t="s">
        <v>1</v>
      </c>
      <c r="F219" s="82"/>
      <c r="G219" s="41" t="s">
        <v>2</v>
      </c>
      <c r="H219" s="2"/>
      <c r="I219" s="3"/>
    </row>
    <row r="220" spans="1:9" ht="15" thickBot="1" x14ac:dyDescent="0.4">
      <c r="A220" s="83" t="s">
        <v>3</v>
      </c>
      <c r="B220" s="84"/>
      <c r="C220" s="8" t="s">
        <v>114</v>
      </c>
      <c r="D220" s="9"/>
      <c r="E220" s="85" t="s">
        <v>5</v>
      </c>
      <c r="F220" s="86"/>
      <c r="G220" s="10">
        <v>113106</v>
      </c>
      <c r="H220" s="11"/>
      <c r="I220" s="12"/>
    </row>
    <row r="221" spans="1:9" ht="15" thickBot="1" x14ac:dyDescent="0.4">
      <c r="A221" s="13"/>
      <c r="B221" s="14" t="s">
        <v>6</v>
      </c>
      <c r="C221" s="15"/>
      <c r="D221" s="14" t="s">
        <v>7</v>
      </c>
      <c r="E221" s="16" t="s">
        <v>8</v>
      </c>
      <c r="F221" s="17" t="s">
        <v>9</v>
      </c>
      <c r="G221" s="18" t="s">
        <v>10</v>
      </c>
      <c r="H221" s="14" t="s">
        <v>11</v>
      </c>
    </row>
    <row r="222" spans="1:9" ht="29.5" thickBot="1" x14ac:dyDescent="0.4">
      <c r="A222" s="19">
        <v>1</v>
      </c>
      <c r="B222" s="20">
        <v>306536</v>
      </c>
      <c r="C222" s="21" t="s">
        <v>115</v>
      </c>
      <c r="D222" s="20" t="s">
        <v>116</v>
      </c>
      <c r="E222" s="20">
        <v>20</v>
      </c>
      <c r="F222" s="23">
        <v>20</v>
      </c>
      <c r="G222" s="20">
        <v>4160</v>
      </c>
      <c r="H222" s="24">
        <f t="shared" ref="H222" si="24">F222/G222</f>
        <v>4.807692307692308E-3</v>
      </c>
    </row>
    <row r="223" spans="1:9" ht="15" thickBot="1" x14ac:dyDescent="0.4">
      <c r="A223" s="38"/>
      <c r="B223" s="53" t="s">
        <v>17</v>
      </c>
      <c r="C223" s="1" t="s">
        <v>117</v>
      </c>
      <c r="D223" s="21"/>
      <c r="E223" s="21"/>
      <c r="F223" s="31"/>
      <c r="G223" s="21"/>
      <c r="H223" s="21"/>
    </row>
    <row r="224" spans="1:9" ht="15" thickBot="1" x14ac:dyDescent="0.4">
      <c r="A224" s="54"/>
      <c r="B224" s="55" t="s">
        <v>17</v>
      </c>
      <c r="C224" s="33" t="s">
        <v>19</v>
      </c>
      <c r="D224" s="34"/>
      <c r="E224" s="34"/>
      <c r="F224" s="15"/>
      <c r="G224" s="34"/>
      <c r="H224" s="34"/>
    </row>
    <row r="225" spans="1:9" ht="15" thickBot="1" x14ac:dyDescent="0.4">
      <c r="A225" s="35"/>
      <c r="B225" s="35"/>
      <c r="C225" s="43"/>
      <c r="D225" s="35"/>
      <c r="E225" s="35"/>
      <c r="F225" s="44">
        <f>SUM(F222:F224)</f>
        <v>20</v>
      </c>
      <c r="G225" s="35"/>
      <c r="H225" s="45">
        <f>SUM(H222:H224)</f>
        <v>4.807692307692308E-3</v>
      </c>
    </row>
    <row r="226" spans="1:9" ht="15" thickBot="1" x14ac:dyDescent="0.4">
      <c r="A226" s="77" t="s">
        <v>0</v>
      </c>
      <c r="B226" s="78"/>
      <c r="C226" s="79">
        <v>46176</v>
      </c>
      <c r="D226" s="80"/>
      <c r="E226" s="81" t="s">
        <v>1</v>
      </c>
      <c r="F226" s="82"/>
      <c r="G226" s="41" t="s">
        <v>2</v>
      </c>
      <c r="H226" s="2"/>
      <c r="I226" s="3"/>
    </row>
    <row r="227" spans="1:9" ht="15" thickBot="1" x14ac:dyDescent="0.4">
      <c r="A227" s="83" t="s">
        <v>3</v>
      </c>
      <c r="B227" s="84"/>
      <c r="C227" s="8" t="s">
        <v>118</v>
      </c>
      <c r="D227" s="9"/>
      <c r="E227" s="85" t="s">
        <v>5</v>
      </c>
      <c r="F227" s="86"/>
      <c r="G227" s="10">
        <v>113106</v>
      </c>
      <c r="H227" s="11"/>
      <c r="I227" s="12"/>
    </row>
    <row r="228" spans="1:9" ht="15" thickBot="1" x14ac:dyDescent="0.4">
      <c r="A228" s="13"/>
      <c r="B228" s="14" t="s">
        <v>6</v>
      </c>
      <c r="C228" s="15"/>
      <c r="D228" s="14" t="s">
        <v>7</v>
      </c>
      <c r="E228" s="16" t="s">
        <v>8</v>
      </c>
      <c r="F228" s="17" t="s">
        <v>9</v>
      </c>
      <c r="G228" s="18" t="s">
        <v>10</v>
      </c>
      <c r="H228" s="14" t="s">
        <v>11</v>
      </c>
    </row>
    <row r="229" spans="1:9" ht="29.5" thickBot="1" x14ac:dyDescent="0.4">
      <c r="A229" s="19">
        <v>1</v>
      </c>
      <c r="B229" s="20">
        <v>304703</v>
      </c>
      <c r="C229" s="21" t="s">
        <v>119</v>
      </c>
      <c r="D229" s="20" t="s">
        <v>23</v>
      </c>
      <c r="E229" s="20">
        <v>6</v>
      </c>
      <c r="F229" s="23">
        <v>6</v>
      </c>
      <c r="G229" s="21"/>
      <c r="H229" s="56" t="e">
        <v>#DIV/0!</v>
      </c>
    </row>
    <row r="230" spans="1:9" ht="15" thickBot="1" x14ac:dyDescent="0.4">
      <c r="A230" s="38"/>
      <c r="B230" s="53" t="s">
        <v>17</v>
      </c>
      <c r="C230" s="30" t="s">
        <v>18</v>
      </c>
      <c r="D230" s="21"/>
      <c r="E230" s="21"/>
      <c r="F230" s="31"/>
      <c r="G230" s="21"/>
      <c r="H230" s="21"/>
    </row>
    <row r="231" spans="1:9" ht="15" thickBot="1" x14ac:dyDescent="0.4">
      <c r="A231" s="54"/>
      <c r="B231" s="55" t="s">
        <v>17</v>
      </c>
      <c r="C231" s="33" t="s">
        <v>120</v>
      </c>
      <c r="D231" s="34"/>
      <c r="E231" s="34"/>
      <c r="F231" s="15"/>
      <c r="G231" s="34"/>
      <c r="H231" s="34"/>
    </row>
    <row r="232" spans="1:9" ht="15" thickBot="1" x14ac:dyDescent="0.4">
      <c r="A232" s="35"/>
      <c r="B232" s="35"/>
      <c r="C232" s="43"/>
      <c r="D232" s="35"/>
      <c r="E232" s="35"/>
      <c r="F232" s="44">
        <v>6</v>
      </c>
      <c r="G232" s="35"/>
      <c r="H232" s="57" t="e">
        <v>#DIV/0!</v>
      </c>
    </row>
    <row r="233" spans="1:9" ht="15" thickBot="1" x14ac:dyDescent="0.4">
      <c r="A233" s="77" t="s">
        <v>0</v>
      </c>
      <c r="B233" s="78"/>
      <c r="C233" s="79">
        <v>46176</v>
      </c>
      <c r="D233" s="80"/>
      <c r="E233" s="81" t="s">
        <v>1</v>
      </c>
      <c r="F233" s="82"/>
      <c r="G233" s="41" t="s">
        <v>2</v>
      </c>
      <c r="H233" s="2"/>
      <c r="I233" s="3"/>
    </row>
    <row r="234" spans="1:9" ht="15" thickBot="1" x14ac:dyDescent="0.4">
      <c r="A234" s="83" t="s">
        <v>3</v>
      </c>
      <c r="B234" s="84"/>
      <c r="C234" s="8" t="s">
        <v>121</v>
      </c>
      <c r="D234" s="9"/>
      <c r="E234" s="85" t="s">
        <v>5</v>
      </c>
      <c r="F234" s="86"/>
      <c r="G234" s="10">
        <v>113106</v>
      </c>
      <c r="H234" s="11"/>
      <c r="I234" s="12"/>
    </row>
    <row r="235" spans="1:9" ht="15" thickBot="1" x14ac:dyDescent="0.4">
      <c r="A235" s="13"/>
      <c r="B235" s="14" t="s">
        <v>6</v>
      </c>
      <c r="C235" s="15"/>
      <c r="D235" s="14" t="s">
        <v>7</v>
      </c>
      <c r="E235" s="16" t="s">
        <v>8</v>
      </c>
      <c r="F235" s="17" t="s">
        <v>9</v>
      </c>
      <c r="G235" s="18" t="s">
        <v>10</v>
      </c>
      <c r="H235" s="14" t="s">
        <v>11</v>
      </c>
    </row>
    <row r="236" spans="1:9" ht="15" thickBot="1" x14ac:dyDescent="0.4">
      <c r="A236" s="19">
        <v>1</v>
      </c>
      <c r="B236" s="20">
        <v>300940</v>
      </c>
      <c r="C236" s="21" t="s">
        <v>29</v>
      </c>
      <c r="D236" s="20" t="s">
        <v>23</v>
      </c>
      <c r="E236" s="20">
        <v>2000</v>
      </c>
      <c r="F236" s="23">
        <v>2000</v>
      </c>
      <c r="G236" s="20">
        <v>19236</v>
      </c>
      <c r="H236" s="24">
        <f t="shared" ref="H236:H245" si="25">F236/G236</f>
        <v>0.10397171969224371</v>
      </c>
    </row>
    <row r="237" spans="1:9" ht="15" thickBot="1" x14ac:dyDescent="0.4">
      <c r="A237" s="19">
        <v>2</v>
      </c>
      <c r="B237" s="20">
        <v>301107</v>
      </c>
      <c r="C237" s="21" t="s">
        <v>30</v>
      </c>
      <c r="D237" s="20" t="s">
        <v>23</v>
      </c>
      <c r="E237" s="20">
        <v>1000</v>
      </c>
      <c r="F237" s="23">
        <v>1000</v>
      </c>
      <c r="G237" s="20">
        <v>11088</v>
      </c>
      <c r="H237" s="24">
        <f t="shared" si="25"/>
        <v>9.0187590187590191E-2</v>
      </c>
    </row>
    <row r="238" spans="1:9" ht="15" thickBot="1" x14ac:dyDescent="0.4">
      <c r="A238" s="19">
        <v>3</v>
      </c>
      <c r="B238" s="20">
        <v>301108</v>
      </c>
      <c r="C238" s="21" t="s">
        <v>31</v>
      </c>
      <c r="D238" s="20" t="s">
        <v>23</v>
      </c>
      <c r="E238" s="20">
        <v>2000</v>
      </c>
      <c r="F238" s="23">
        <v>2000</v>
      </c>
      <c r="G238" s="20">
        <v>6528</v>
      </c>
      <c r="H238" s="24">
        <f t="shared" si="25"/>
        <v>0.30637254901960786</v>
      </c>
    </row>
    <row r="239" spans="1:9" ht="15" thickBot="1" x14ac:dyDescent="0.4">
      <c r="A239" s="19">
        <v>4</v>
      </c>
      <c r="B239" s="20">
        <v>301110</v>
      </c>
      <c r="C239" s="21" t="s">
        <v>32</v>
      </c>
      <c r="D239" s="20" t="s">
        <v>23</v>
      </c>
      <c r="E239" s="20">
        <v>1500</v>
      </c>
      <c r="F239" s="23">
        <v>1500</v>
      </c>
      <c r="G239" s="20">
        <v>54360</v>
      </c>
      <c r="H239" s="24">
        <f t="shared" si="25"/>
        <v>2.759381898454746E-2</v>
      </c>
    </row>
    <row r="240" spans="1:9" ht="15" thickBot="1" x14ac:dyDescent="0.4">
      <c r="A240" s="19">
        <v>5</v>
      </c>
      <c r="B240" s="20">
        <v>301111</v>
      </c>
      <c r="C240" s="21" t="s">
        <v>33</v>
      </c>
      <c r="D240" s="20" t="s">
        <v>23</v>
      </c>
      <c r="E240" s="20">
        <v>2500</v>
      </c>
      <c r="F240" s="23">
        <v>2500</v>
      </c>
      <c r="G240" s="20">
        <v>29808</v>
      </c>
      <c r="H240" s="24">
        <f t="shared" si="25"/>
        <v>8.3870101986044013E-2</v>
      </c>
    </row>
    <row r="241" spans="1:9" ht="15" thickBot="1" x14ac:dyDescent="0.4">
      <c r="A241" s="19">
        <v>6</v>
      </c>
      <c r="B241" s="20">
        <v>301112</v>
      </c>
      <c r="C241" s="21" t="s">
        <v>60</v>
      </c>
      <c r="D241" s="20" t="s">
        <v>23</v>
      </c>
      <c r="E241" s="20">
        <v>2000</v>
      </c>
      <c r="F241" s="23">
        <v>2000</v>
      </c>
      <c r="G241" s="20">
        <v>12432</v>
      </c>
      <c r="H241" s="24">
        <f t="shared" si="25"/>
        <v>0.16087516087516088</v>
      </c>
    </row>
    <row r="242" spans="1:9" ht="15" thickBot="1" x14ac:dyDescent="0.4">
      <c r="A242" s="19">
        <v>7</v>
      </c>
      <c r="B242" s="20">
        <v>302763</v>
      </c>
      <c r="C242" s="21" t="s">
        <v>122</v>
      </c>
      <c r="D242" s="20" t="s">
        <v>23</v>
      </c>
      <c r="E242" s="20">
        <v>2000</v>
      </c>
      <c r="F242" s="23">
        <v>2000</v>
      </c>
      <c r="G242" s="20">
        <v>24900</v>
      </c>
      <c r="H242" s="24">
        <f t="shared" si="25"/>
        <v>8.0321285140562249E-2</v>
      </c>
    </row>
    <row r="243" spans="1:9" ht="15" thickBot="1" x14ac:dyDescent="0.4">
      <c r="A243" s="19">
        <v>8</v>
      </c>
      <c r="B243" s="20">
        <v>302764</v>
      </c>
      <c r="C243" s="21" t="s">
        <v>79</v>
      </c>
      <c r="D243" s="20" t="s">
        <v>23</v>
      </c>
      <c r="E243" s="20">
        <v>1500</v>
      </c>
      <c r="F243" s="23">
        <v>1500</v>
      </c>
      <c r="G243" s="20">
        <v>17550</v>
      </c>
      <c r="H243" s="24">
        <f t="shared" si="25"/>
        <v>8.5470085470085472E-2</v>
      </c>
    </row>
    <row r="244" spans="1:9" ht="15" thickBot="1" x14ac:dyDescent="0.4">
      <c r="A244" s="19">
        <v>9</v>
      </c>
      <c r="B244" s="20">
        <v>304899</v>
      </c>
      <c r="C244" s="21" t="s">
        <v>84</v>
      </c>
      <c r="D244" s="20" t="s">
        <v>23</v>
      </c>
      <c r="E244" s="20">
        <v>1000</v>
      </c>
      <c r="F244" s="23">
        <v>1000</v>
      </c>
      <c r="G244" s="20">
        <v>53280</v>
      </c>
      <c r="H244" s="24">
        <f t="shared" si="25"/>
        <v>1.8768768768768769E-2</v>
      </c>
    </row>
    <row r="245" spans="1:9" ht="15" thickBot="1" x14ac:dyDescent="0.4">
      <c r="A245" s="19">
        <v>10</v>
      </c>
      <c r="B245" s="20">
        <v>304900</v>
      </c>
      <c r="C245" s="21" t="s">
        <v>61</v>
      </c>
      <c r="D245" s="20" t="s">
        <v>23</v>
      </c>
      <c r="E245" s="20">
        <v>500</v>
      </c>
      <c r="F245" s="23">
        <v>500</v>
      </c>
      <c r="G245" s="20">
        <v>41112</v>
      </c>
      <c r="H245" s="24">
        <f t="shared" si="25"/>
        <v>1.2161899202179412E-2</v>
      </c>
    </row>
    <row r="246" spans="1:9" ht="15" thickBot="1" x14ac:dyDescent="0.4">
      <c r="A246" s="38"/>
      <c r="B246" s="21"/>
      <c r="C246" s="30" t="s">
        <v>123</v>
      </c>
      <c r="D246" s="21"/>
      <c r="E246" s="21"/>
      <c r="F246" s="31"/>
      <c r="G246" s="21"/>
      <c r="H246" s="21"/>
    </row>
    <row r="247" spans="1:9" ht="15" thickBot="1" x14ac:dyDescent="0.4">
      <c r="A247" s="38"/>
      <c r="B247" s="53" t="s">
        <v>17</v>
      </c>
      <c r="C247" s="30" t="s">
        <v>18</v>
      </c>
      <c r="D247" s="21"/>
      <c r="E247" s="21"/>
      <c r="F247" s="31"/>
      <c r="G247" s="21"/>
      <c r="H247" s="21"/>
    </row>
    <row r="248" spans="1:9" ht="15" thickBot="1" x14ac:dyDescent="0.4">
      <c r="A248" s="54"/>
      <c r="B248" s="55" t="s">
        <v>17</v>
      </c>
      <c r="C248" s="33" t="s">
        <v>19</v>
      </c>
      <c r="D248" s="34"/>
      <c r="E248" s="34"/>
      <c r="F248" s="15"/>
      <c r="G248" s="34"/>
      <c r="H248" s="34"/>
    </row>
    <row r="249" spans="1:9" ht="15" thickBot="1" x14ac:dyDescent="0.4">
      <c r="A249" s="35"/>
      <c r="B249" s="35"/>
      <c r="C249" s="43"/>
      <c r="D249" s="35"/>
      <c r="E249" s="35"/>
      <c r="F249" s="44">
        <f>SUM(F236:F248)</f>
        <v>16000</v>
      </c>
      <c r="G249" s="35"/>
      <c r="H249" s="45">
        <f>SUM(H236:H248)</f>
        <v>0.96959297932679001</v>
      </c>
    </row>
    <row r="250" spans="1:9" ht="15" thickBot="1" x14ac:dyDescent="0.4">
      <c r="A250" s="77" t="s">
        <v>0</v>
      </c>
      <c r="B250" s="78"/>
      <c r="C250" s="79">
        <v>46176</v>
      </c>
      <c r="D250" s="80"/>
      <c r="E250" s="81" t="s">
        <v>1</v>
      </c>
      <c r="F250" s="82"/>
      <c r="G250" s="41" t="s">
        <v>2</v>
      </c>
      <c r="H250" s="2"/>
      <c r="I250" s="3"/>
    </row>
    <row r="251" spans="1:9" ht="15" thickBot="1" x14ac:dyDescent="0.4">
      <c r="A251" s="83" t="s">
        <v>3</v>
      </c>
      <c r="B251" s="84"/>
      <c r="C251" s="8" t="s">
        <v>124</v>
      </c>
      <c r="D251" s="9"/>
      <c r="E251" s="85" t="s">
        <v>5</v>
      </c>
      <c r="F251" s="86"/>
      <c r="G251" s="10">
        <v>113108</v>
      </c>
      <c r="H251" s="11"/>
      <c r="I251" s="12"/>
    </row>
    <row r="252" spans="1:9" ht="15" thickBot="1" x14ac:dyDescent="0.4">
      <c r="A252" s="13"/>
      <c r="B252" s="14" t="s">
        <v>6</v>
      </c>
      <c r="C252" s="15"/>
      <c r="D252" s="14" t="s">
        <v>7</v>
      </c>
      <c r="E252" s="16" t="s">
        <v>8</v>
      </c>
      <c r="F252" s="17" t="s">
        <v>9</v>
      </c>
      <c r="G252" s="18" t="s">
        <v>10</v>
      </c>
      <c r="H252" s="14" t="s">
        <v>11</v>
      </c>
    </row>
    <row r="253" spans="1:9" ht="15" thickBot="1" x14ac:dyDescent="0.4">
      <c r="A253" s="19">
        <v>1</v>
      </c>
      <c r="B253" s="20">
        <v>800659</v>
      </c>
      <c r="C253" s="21" t="s">
        <v>104</v>
      </c>
      <c r="D253" s="20" t="s">
        <v>23</v>
      </c>
      <c r="E253" s="20">
        <v>2500</v>
      </c>
      <c r="F253" s="23">
        <v>1034</v>
      </c>
      <c r="G253" s="20">
        <v>3366</v>
      </c>
      <c r="H253" s="24">
        <f t="shared" ref="H253" si="26">F253/G253</f>
        <v>0.30718954248366015</v>
      </c>
    </row>
    <row r="254" spans="1:9" ht="15" thickBot="1" x14ac:dyDescent="0.4">
      <c r="A254" s="38"/>
      <c r="B254" s="53" t="s">
        <v>17</v>
      </c>
      <c r="C254" s="30" t="s">
        <v>18</v>
      </c>
      <c r="D254" s="21"/>
      <c r="E254" s="21"/>
      <c r="F254" s="31"/>
      <c r="G254" s="21"/>
      <c r="H254" s="21"/>
    </row>
    <row r="255" spans="1:9" ht="15" thickBot="1" x14ac:dyDescent="0.4">
      <c r="A255" s="54"/>
      <c r="B255" s="55" t="s">
        <v>17</v>
      </c>
      <c r="C255" s="33" t="s">
        <v>125</v>
      </c>
      <c r="D255" s="34"/>
      <c r="E255" s="34"/>
      <c r="F255" s="15"/>
      <c r="G255" s="34"/>
      <c r="H255" s="34"/>
    </row>
    <row r="256" spans="1:9" ht="15" thickBot="1" x14ac:dyDescent="0.4">
      <c r="A256" s="35"/>
      <c r="B256" s="35"/>
      <c r="C256" s="43"/>
      <c r="D256" s="35"/>
      <c r="E256" s="35"/>
      <c r="F256" s="44">
        <f>SUM(F253:F255)</f>
        <v>1034</v>
      </c>
      <c r="G256" s="35"/>
      <c r="H256" s="45">
        <f>SUM(H253:H255)</f>
        <v>0.30718954248366015</v>
      </c>
    </row>
    <row r="257" spans="1:35" ht="15" thickBot="1" x14ac:dyDescent="0.4">
      <c r="A257" s="77" t="s">
        <v>0</v>
      </c>
      <c r="B257" s="78"/>
      <c r="C257" s="79">
        <v>46176</v>
      </c>
      <c r="D257" s="80"/>
      <c r="E257" s="81" t="s">
        <v>1</v>
      </c>
      <c r="F257" s="82"/>
      <c r="G257" s="41" t="s">
        <v>2</v>
      </c>
      <c r="H257" s="2"/>
      <c r="I257" s="3"/>
    </row>
    <row r="258" spans="1:35" ht="15" thickBot="1" x14ac:dyDescent="0.4">
      <c r="A258" s="83" t="s">
        <v>3</v>
      </c>
      <c r="B258" s="84"/>
      <c r="C258" s="8" t="s">
        <v>126</v>
      </c>
      <c r="D258" s="9"/>
      <c r="E258" s="85" t="s">
        <v>5</v>
      </c>
      <c r="F258" s="86"/>
      <c r="G258" s="10">
        <v>113110</v>
      </c>
      <c r="H258" s="11"/>
      <c r="I258" s="12"/>
    </row>
    <row r="259" spans="1:35" ht="15" thickBot="1" x14ac:dyDescent="0.4">
      <c r="A259" s="13"/>
      <c r="B259" s="14" t="s">
        <v>6</v>
      </c>
      <c r="C259" s="15"/>
      <c r="D259" s="14" t="s">
        <v>7</v>
      </c>
      <c r="E259" s="16" t="s">
        <v>8</v>
      </c>
      <c r="F259" s="17" t="s">
        <v>9</v>
      </c>
      <c r="G259" s="18" t="s">
        <v>10</v>
      </c>
      <c r="H259" s="14" t="s">
        <v>11</v>
      </c>
      <c r="L259" s="4"/>
      <c r="M259"/>
      <c r="N259" s="58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 s="6"/>
      <c r="AE259" s="7"/>
      <c r="AF259" s="6"/>
      <c r="AI259" s="7"/>
    </row>
    <row r="260" spans="1:35" ht="15" thickBot="1" x14ac:dyDescent="0.4">
      <c r="A260" s="19">
        <v>1</v>
      </c>
      <c r="B260" s="20">
        <v>305540</v>
      </c>
      <c r="C260" s="59" t="s">
        <v>127</v>
      </c>
      <c r="D260" s="20" t="s">
        <v>103</v>
      </c>
      <c r="E260" s="20">
        <v>100</v>
      </c>
      <c r="F260" s="23">
        <v>100</v>
      </c>
      <c r="G260" s="20">
        <v>170</v>
      </c>
      <c r="H260" s="24">
        <f t="shared" ref="H260:H261" si="27">F260/G260</f>
        <v>0.58823529411764708</v>
      </c>
      <c r="L260" s="4"/>
      <c r="M260"/>
      <c r="N260" s="58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 s="6"/>
      <c r="AE260" s="7"/>
      <c r="AF260" s="6"/>
      <c r="AI260" s="7"/>
    </row>
    <row r="261" spans="1:35" ht="29.5" thickBot="1" x14ac:dyDescent="0.4">
      <c r="A261" s="19">
        <v>2</v>
      </c>
      <c r="B261" s="20">
        <v>300059</v>
      </c>
      <c r="C261" s="59" t="s">
        <v>128</v>
      </c>
      <c r="D261" s="20" t="s">
        <v>129</v>
      </c>
      <c r="E261" s="20">
        <v>50</v>
      </c>
      <c r="F261" s="23">
        <v>50</v>
      </c>
      <c r="G261" s="20">
        <v>170</v>
      </c>
      <c r="H261" s="24">
        <f t="shared" si="27"/>
        <v>0.29411764705882354</v>
      </c>
      <c r="L261" s="4"/>
      <c r="M261"/>
      <c r="N261" s="58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 s="6"/>
      <c r="AE261" s="7"/>
      <c r="AF261" s="6"/>
      <c r="AI261" s="7"/>
    </row>
    <row r="262" spans="1:35" ht="15" thickBot="1" x14ac:dyDescent="0.4">
      <c r="A262" s="38"/>
      <c r="B262" s="53" t="s">
        <v>17</v>
      </c>
      <c r="C262" s="30" t="s">
        <v>18</v>
      </c>
      <c r="D262" s="21"/>
      <c r="E262" s="21"/>
      <c r="F262" s="31"/>
      <c r="G262" s="21"/>
      <c r="H262" s="21"/>
      <c r="L262" s="4"/>
      <c r="M262"/>
      <c r="N262" s="58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 s="6"/>
      <c r="AE262" s="7"/>
      <c r="AF262" s="6"/>
      <c r="AI262" s="7"/>
    </row>
    <row r="263" spans="1:35" ht="15" thickBot="1" x14ac:dyDescent="0.4">
      <c r="A263" s="54"/>
      <c r="B263" s="55" t="s">
        <v>17</v>
      </c>
      <c r="C263" s="33" t="s">
        <v>125</v>
      </c>
      <c r="D263" s="34"/>
      <c r="E263" s="34"/>
      <c r="F263" s="15"/>
      <c r="G263" s="34"/>
      <c r="H263" s="34"/>
      <c r="L263" s="4"/>
      <c r="M263"/>
      <c r="N263" s="58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 s="6"/>
      <c r="AE263" s="7"/>
      <c r="AF263" s="6"/>
      <c r="AI263" s="7"/>
    </row>
    <row r="264" spans="1:35" ht="15" thickBot="1" x14ac:dyDescent="0.4">
      <c r="A264" s="35"/>
      <c r="B264" s="35"/>
      <c r="C264" s="43"/>
      <c r="D264" s="35"/>
      <c r="E264" s="35"/>
      <c r="F264" s="44">
        <f>SUM(F260:F263)</f>
        <v>150</v>
      </c>
      <c r="G264" s="35"/>
      <c r="H264" s="45">
        <f>SUM(H260:H263)</f>
        <v>0.88235294117647056</v>
      </c>
      <c r="L264" s="4"/>
      <c r="M264"/>
      <c r="N264" s="58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 s="6"/>
      <c r="AE264" s="7"/>
      <c r="AF264" s="6"/>
      <c r="AI264" s="7"/>
    </row>
    <row r="265" spans="1:35" ht="15" thickBot="1" x14ac:dyDescent="0.4">
      <c r="A265" s="77" t="s">
        <v>0</v>
      </c>
      <c r="B265" s="78"/>
      <c r="C265" s="79">
        <v>46177</v>
      </c>
      <c r="D265" s="80"/>
      <c r="E265" s="81" t="s">
        <v>1</v>
      </c>
      <c r="F265" s="82"/>
      <c r="G265" s="41" t="s">
        <v>2</v>
      </c>
      <c r="H265" s="2"/>
      <c r="I265" s="3"/>
    </row>
    <row r="266" spans="1:35" ht="15" thickBot="1" x14ac:dyDescent="0.4">
      <c r="A266" s="83" t="s">
        <v>3</v>
      </c>
      <c r="B266" s="84"/>
      <c r="C266" s="8" t="s">
        <v>130</v>
      </c>
      <c r="D266" s="9"/>
      <c r="E266" s="85" t="s">
        <v>5</v>
      </c>
      <c r="F266" s="86"/>
      <c r="G266" s="10">
        <v>113111</v>
      </c>
      <c r="H266" s="11"/>
      <c r="I266" s="12"/>
    </row>
    <row r="267" spans="1:35" ht="15" thickBot="1" x14ac:dyDescent="0.4">
      <c r="A267" s="13"/>
      <c r="B267" s="14" t="s">
        <v>6</v>
      </c>
      <c r="C267" s="15"/>
      <c r="D267" s="14" t="s">
        <v>7</v>
      </c>
      <c r="E267" s="16" t="s">
        <v>8</v>
      </c>
      <c r="F267" s="17" t="s">
        <v>9</v>
      </c>
      <c r="G267" s="18" t="s">
        <v>10</v>
      </c>
      <c r="H267" s="14" t="s">
        <v>11</v>
      </c>
    </row>
    <row r="268" spans="1:35" ht="29.5" thickBot="1" x14ac:dyDescent="0.4">
      <c r="A268" s="19">
        <v>1</v>
      </c>
      <c r="B268" s="20">
        <v>306693</v>
      </c>
      <c r="C268" s="21" t="s">
        <v>131</v>
      </c>
      <c r="D268" s="60" t="s">
        <v>132</v>
      </c>
      <c r="E268" s="20">
        <v>10</v>
      </c>
      <c r="F268" s="23">
        <v>10</v>
      </c>
      <c r="G268" s="20">
        <v>147</v>
      </c>
      <c r="H268" s="24">
        <f t="shared" ref="H268" si="28">F268/G268</f>
        <v>6.8027210884353748E-2</v>
      </c>
    </row>
    <row r="269" spans="1:35" ht="15" thickBot="1" x14ac:dyDescent="0.4">
      <c r="A269" s="38"/>
      <c r="B269" s="53" t="s">
        <v>17</v>
      </c>
      <c r="C269" s="30" t="s">
        <v>18</v>
      </c>
      <c r="D269" s="21"/>
      <c r="E269" s="21"/>
      <c r="F269" s="31"/>
      <c r="G269" s="21"/>
      <c r="H269" s="21"/>
    </row>
    <row r="270" spans="1:35" ht="15" thickBot="1" x14ac:dyDescent="0.4">
      <c r="A270" s="54"/>
      <c r="B270" s="55" t="s">
        <v>17</v>
      </c>
      <c r="C270" s="33" t="s">
        <v>125</v>
      </c>
      <c r="D270" s="34"/>
      <c r="E270" s="34"/>
      <c r="F270" s="15"/>
      <c r="G270" s="34"/>
      <c r="H270" s="34"/>
    </row>
    <row r="271" spans="1:35" ht="15" thickBot="1" x14ac:dyDescent="0.4">
      <c r="A271" s="35"/>
      <c r="B271" s="35"/>
      <c r="C271" s="43"/>
      <c r="D271" s="35"/>
      <c r="E271" s="35"/>
      <c r="F271" s="44">
        <f>SUM(F268:F270)</f>
        <v>10</v>
      </c>
      <c r="G271" s="35"/>
      <c r="H271" s="45">
        <f>SUM(H268:H270)</f>
        <v>6.8027210884353748E-2</v>
      </c>
    </row>
    <row r="272" spans="1:35" ht="15" thickBot="1" x14ac:dyDescent="0.4">
      <c r="A272" s="77" t="s">
        <v>0</v>
      </c>
      <c r="B272" s="78"/>
      <c r="C272" s="79">
        <v>46183</v>
      </c>
      <c r="D272" s="80"/>
      <c r="E272" s="81" t="s">
        <v>1</v>
      </c>
      <c r="F272" s="82"/>
      <c r="G272" s="41" t="s">
        <v>133</v>
      </c>
      <c r="H272" s="2"/>
      <c r="I272" s="3"/>
    </row>
    <row r="273" spans="1:35" ht="15" thickBot="1" x14ac:dyDescent="0.4">
      <c r="A273" s="83" t="s">
        <v>3</v>
      </c>
      <c r="B273" s="84"/>
      <c r="C273" s="8" t="s">
        <v>134</v>
      </c>
      <c r="D273" s="9"/>
      <c r="E273" s="85" t="s">
        <v>5</v>
      </c>
      <c r="F273" s="86"/>
      <c r="G273" s="10">
        <v>113119</v>
      </c>
      <c r="H273" s="11"/>
      <c r="I273" s="12"/>
    </row>
    <row r="274" spans="1:35" ht="15" thickBot="1" x14ac:dyDescent="0.4">
      <c r="A274" s="13"/>
      <c r="B274" s="14" t="s">
        <v>6</v>
      </c>
      <c r="C274" s="15"/>
      <c r="D274" s="14" t="s">
        <v>7</v>
      </c>
      <c r="E274" s="16" t="s">
        <v>8</v>
      </c>
      <c r="F274" s="17" t="s">
        <v>9</v>
      </c>
      <c r="G274" s="18" t="s">
        <v>10</v>
      </c>
      <c r="H274" s="14" t="s">
        <v>11</v>
      </c>
      <c r="L274" s="4"/>
      <c r="M274"/>
      <c r="N274" s="58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 s="6"/>
      <c r="AE274" s="7"/>
      <c r="AF274" s="6"/>
      <c r="AI274" s="7"/>
    </row>
    <row r="275" spans="1:35" ht="43.5" customHeight="1" thickBot="1" x14ac:dyDescent="0.4">
      <c r="A275" s="19">
        <v>1</v>
      </c>
      <c r="B275" s="20">
        <v>305420</v>
      </c>
      <c r="C275" s="87" t="s">
        <v>135</v>
      </c>
      <c r="D275" s="20" t="s">
        <v>23</v>
      </c>
      <c r="E275" s="20">
        <v>6</v>
      </c>
      <c r="F275" s="23">
        <v>6</v>
      </c>
      <c r="G275" s="20">
        <v>1064</v>
      </c>
      <c r="H275" s="24">
        <f t="shared" ref="H275" si="29">F275/G275</f>
        <v>5.6390977443609019E-3</v>
      </c>
      <c r="L275" s="4"/>
      <c r="M275"/>
      <c r="N275" s="58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 s="6"/>
      <c r="AE275" s="7"/>
      <c r="AF275" s="6"/>
      <c r="AI275" s="7"/>
    </row>
    <row r="276" spans="1:35" ht="15" thickBot="1" x14ac:dyDescent="0.4">
      <c r="A276" s="38"/>
      <c r="B276" s="21"/>
      <c r="C276" s="88"/>
      <c r="D276" s="21"/>
      <c r="E276" s="21"/>
      <c r="F276" s="31"/>
      <c r="G276" s="21"/>
      <c r="H276" s="21"/>
      <c r="L276" s="4"/>
      <c r="M276"/>
      <c r="N276" s="58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 s="6"/>
      <c r="AE276" s="7"/>
      <c r="AF276" s="6"/>
      <c r="AI276" s="7"/>
    </row>
    <row r="277" spans="1:35" ht="15" thickBot="1" x14ac:dyDescent="0.4">
      <c r="A277" s="38"/>
      <c r="B277" s="21"/>
      <c r="C277" s="89"/>
      <c r="D277" s="21"/>
      <c r="E277" s="21"/>
      <c r="F277" s="31"/>
      <c r="G277" s="21"/>
      <c r="H277" s="21"/>
      <c r="L277" s="4"/>
      <c r="M277"/>
      <c r="N277" s="58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 s="6"/>
      <c r="AE277" s="7"/>
      <c r="AF277" s="6"/>
      <c r="AI277" s="7"/>
    </row>
    <row r="278" spans="1:35" ht="15" thickBot="1" x14ac:dyDescent="0.4">
      <c r="A278" s="19">
        <v>2</v>
      </c>
      <c r="B278" s="20">
        <v>303448</v>
      </c>
      <c r="C278" s="21" t="s">
        <v>136</v>
      </c>
      <c r="D278" s="20" t="s">
        <v>27</v>
      </c>
      <c r="E278" s="20">
        <v>30</v>
      </c>
      <c r="F278" s="23">
        <v>30</v>
      </c>
      <c r="G278" s="20">
        <v>2760</v>
      </c>
      <c r="H278" s="24">
        <f t="shared" ref="H278:H279" si="30">F278/G278</f>
        <v>1.0869565217391304E-2</v>
      </c>
      <c r="L278" s="4"/>
      <c r="M278"/>
      <c r="N278" s="5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 s="6"/>
      <c r="AE278" s="7"/>
      <c r="AF278" s="6"/>
      <c r="AI278" s="7"/>
    </row>
    <row r="279" spans="1:35" ht="15" thickBot="1" x14ac:dyDescent="0.4">
      <c r="A279" s="19">
        <v>3</v>
      </c>
      <c r="B279" s="20">
        <v>304670</v>
      </c>
      <c r="C279" s="21" t="s">
        <v>102</v>
      </c>
      <c r="D279" s="20" t="s">
        <v>27</v>
      </c>
      <c r="E279" s="20">
        <v>30</v>
      </c>
      <c r="F279" s="23">
        <v>30</v>
      </c>
      <c r="G279" s="20">
        <v>6384</v>
      </c>
      <c r="H279" s="24">
        <f t="shared" si="30"/>
        <v>4.6992481203007516E-3</v>
      </c>
      <c r="L279" s="4"/>
      <c r="M279"/>
      <c r="N279" s="58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 s="6"/>
      <c r="AE279" s="7"/>
      <c r="AF279" s="6"/>
      <c r="AI279" s="7"/>
    </row>
    <row r="280" spans="1:35" ht="15" thickBot="1" x14ac:dyDescent="0.4">
      <c r="A280" s="38"/>
      <c r="B280" s="53" t="s">
        <v>17</v>
      </c>
      <c r="C280" s="30" t="s">
        <v>18</v>
      </c>
      <c r="D280" s="21"/>
      <c r="E280" s="21"/>
      <c r="F280" s="31"/>
      <c r="G280" s="21"/>
      <c r="H280" s="21"/>
      <c r="L280" s="4"/>
      <c r="M280"/>
      <c r="N280" s="58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 s="6"/>
      <c r="AE280" s="7"/>
      <c r="AF280" s="6"/>
      <c r="AI280" s="7"/>
    </row>
    <row r="281" spans="1:35" ht="15" thickBot="1" x14ac:dyDescent="0.4">
      <c r="A281" s="54"/>
      <c r="B281" s="55" t="s">
        <v>17</v>
      </c>
      <c r="C281" s="33" t="s">
        <v>19</v>
      </c>
      <c r="D281" s="34"/>
      <c r="E281" s="34"/>
      <c r="F281" s="15"/>
      <c r="G281" s="34"/>
      <c r="H281" s="34"/>
      <c r="L281" s="4"/>
      <c r="M281"/>
      <c r="N281" s="58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 s="6"/>
      <c r="AE281" s="7"/>
      <c r="AF281" s="6"/>
      <c r="AI281" s="7"/>
    </row>
    <row r="282" spans="1:35" ht="15" thickBot="1" x14ac:dyDescent="0.4">
      <c r="A282" s="35"/>
      <c r="B282" s="35"/>
      <c r="C282" s="43"/>
      <c r="D282" s="35"/>
      <c r="E282" s="35"/>
      <c r="F282" s="44">
        <f>SUM(F275:F279)</f>
        <v>66</v>
      </c>
      <c r="G282" s="35"/>
      <c r="H282" s="45">
        <f>SUM(H275:H279)</f>
        <v>2.1207911082052958E-2</v>
      </c>
      <c r="L282" s="4"/>
      <c r="M282"/>
      <c r="N282" s="58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 s="6"/>
      <c r="AE282" s="7"/>
      <c r="AF282" s="6"/>
      <c r="AI282" s="7"/>
    </row>
    <row r="283" spans="1:35" ht="15" thickBot="1" x14ac:dyDescent="0.4">
      <c r="A283" s="77" t="s">
        <v>0</v>
      </c>
      <c r="B283" s="78"/>
      <c r="C283" s="79">
        <v>46184</v>
      </c>
      <c r="D283" s="80"/>
      <c r="E283" s="81" t="s">
        <v>1</v>
      </c>
      <c r="F283" s="82"/>
      <c r="G283" s="41" t="s">
        <v>2</v>
      </c>
      <c r="H283" s="2"/>
      <c r="I283" s="3"/>
    </row>
    <row r="284" spans="1:35" ht="15" thickBot="1" x14ac:dyDescent="0.4">
      <c r="A284" s="83" t="s">
        <v>3</v>
      </c>
      <c r="B284" s="84"/>
      <c r="C284" s="8" t="s">
        <v>137</v>
      </c>
      <c r="D284" s="9"/>
      <c r="E284" s="85" t="s">
        <v>5</v>
      </c>
      <c r="F284" s="86"/>
      <c r="G284" s="10">
        <v>113124</v>
      </c>
      <c r="H284" s="11"/>
      <c r="I284" s="12"/>
    </row>
    <row r="285" spans="1:35" ht="15" thickBot="1" x14ac:dyDescent="0.4">
      <c r="A285" s="13"/>
      <c r="B285" s="14" t="s">
        <v>6</v>
      </c>
      <c r="C285" s="15"/>
      <c r="D285" s="14" t="s">
        <v>7</v>
      </c>
      <c r="E285" s="16" t="s">
        <v>8</v>
      </c>
      <c r="F285" s="17" t="s">
        <v>9</v>
      </c>
      <c r="G285" s="18" t="s">
        <v>10</v>
      </c>
      <c r="H285" s="14" t="s">
        <v>11</v>
      </c>
      <c r="L285" s="4"/>
      <c r="M285"/>
      <c r="N285" s="58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 s="6"/>
      <c r="AE285" s="7"/>
      <c r="AF285" s="6"/>
      <c r="AI285" s="7"/>
    </row>
    <row r="286" spans="1:35" ht="15" thickBot="1" x14ac:dyDescent="0.4">
      <c r="A286" s="19">
        <v>1</v>
      </c>
      <c r="B286" s="20">
        <v>305905</v>
      </c>
      <c r="C286" s="21" t="s">
        <v>138</v>
      </c>
      <c r="D286" s="20" t="s">
        <v>28</v>
      </c>
      <c r="E286" s="20">
        <v>20</v>
      </c>
      <c r="F286" s="23">
        <v>20</v>
      </c>
      <c r="G286" s="20">
        <v>1170</v>
      </c>
      <c r="H286" s="24">
        <f t="shared" ref="H286:H288" si="31">F286/G286</f>
        <v>1.7094017094017096E-2</v>
      </c>
      <c r="L286" s="4"/>
      <c r="M286"/>
      <c r="N286" s="58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 s="6"/>
      <c r="AE286" s="7"/>
      <c r="AF286" s="6"/>
      <c r="AI286" s="7"/>
    </row>
    <row r="287" spans="1:35" ht="15" thickBot="1" x14ac:dyDescent="0.4">
      <c r="A287" s="19">
        <v>2</v>
      </c>
      <c r="B287" s="20">
        <v>305906</v>
      </c>
      <c r="C287" s="21" t="s">
        <v>139</v>
      </c>
      <c r="D287" s="20" t="s">
        <v>28</v>
      </c>
      <c r="E287" s="20">
        <v>32</v>
      </c>
      <c r="F287" s="23">
        <v>32</v>
      </c>
      <c r="G287" s="20">
        <v>768</v>
      </c>
      <c r="H287" s="24">
        <f t="shared" si="31"/>
        <v>4.1666666666666664E-2</v>
      </c>
      <c r="L287" s="4"/>
      <c r="M287"/>
      <c r="N287" s="58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 s="6"/>
      <c r="AE287" s="7"/>
      <c r="AF287" s="6"/>
      <c r="AI287" s="7"/>
    </row>
    <row r="288" spans="1:35" ht="15" thickBot="1" x14ac:dyDescent="0.4">
      <c r="A288" s="19">
        <v>3</v>
      </c>
      <c r="B288" s="20">
        <v>305907</v>
      </c>
      <c r="C288" s="21" t="s">
        <v>140</v>
      </c>
      <c r="D288" s="20" t="s">
        <v>28</v>
      </c>
      <c r="E288" s="20">
        <v>20</v>
      </c>
      <c r="F288" s="23">
        <v>20</v>
      </c>
      <c r="G288" s="20">
        <v>420</v>
      </c>
      <c r="H288" s="24">
        <f t="shared" si="31"/>
        <v>4.7619047619047616E-2</v>
      </c>
      <c r="L288" s="4"/>
      <c r="M288"/>
      <c r="N288" s="5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 s="6"/>
      <c r="AE288" s="7"/>
      <c r="AF288" s="6"/>
      <c r="AI288" s="7"/>
    </row>
    <row r="289" spans="1:35" ht="15" thickBot="1" x14ac:dyDescent="0.4">
      <c r="A289" s="38"/>
      <c r="B289" s="53" t="s">
        <v>17</v>
      </c>
      <c r="C289" s="30" t="s">
        <v>18</v>
      </c>
      <c r="D289" s="21"/>
      <c r="E289" s="21"/>
      <c r="F289" s="31"/>
      <c r="G289" s="21"/>
      <c r="H289" s="21"/>
      <c r="L289" s="4"/>
      <c r="M289"/>
      <c r="N289" s="58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 s="6"/>
      <c r="AE289" s="7"/>
      <c r="AF289" s="6"/>
      <c r="AI289" s="7"/>
    </row>
    <row r="290" spans="1:35" ht="15" thickBot="1" x14ac:dyDescent="0.4">
      <c r="A290" s="54"/>
      <c r="B290" s="55" t="s">
        <v>17</v>
      </c>
      <c r="C290" s="33" t="s">
        <v>19</v>
      </c>
      <c r="D290" s="34"/>
      <c r="E290" s="34"/>
      <c r="F290" s="15"/>
      <c r="G290" s="34"/>
      <c r="H290" s="34"/>
      <c r="L290" s="4"/>
      <c r="M290"/>
      <c r="N290" s="58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 s="6"/>
      <c r="AE290" s="7"/>
      <c r="AF290" s="6"/>
      <c r="AI290" s="7"/>
    </row>
    <row r="291" spans="1:35" ht="15" thickBot="1" x14ac:dyDescent="0.4">
      <c r="A291" s="35"/>
      <c r="B291" s="35"/>
      <c r="C291" s="43"/>
      <c r="D291" s="35"/>
      <c r="E291" s="35"/>
      <c r="F291" s="44">
        <f>SUM(F286:F290)</f>
        <v>72</v>
      </c>
      <c r="G291" s="35"/>
      <c r="H291" s="45">
        <f>SUM(H286:H290)</f>
        <v>0.10637973137973138</v>
      </c>
      <c r="L291" s="4"/>
      <c r="M291"/>
      <c r="N291" s="58"/>
      <c r="O291"/>
      <c r="P291"/>
      <c r="T291"/>
      <c r="U291"/>
      <c r="V291"/>
      <c r="W291"/>
      <c r="X291"/>
      <c r="Y291"/>
      <c r="Z291"/>
      <c r="AA291"/>
      <c r="AB291"/>
      <c r="AC291" s="6"/>
      <c r="AE291" s="7"/>
      <c r="AF291" s="6"/>
      <c r="AI291" s="7"/>
    </row>
    <row r="292" spans="1:35" ht="15" thickBot="1" x14ac:dyDescent="0.4">
      <c r="A292" s="77" t="s">
        <v>0</v>
      </c>
      <c r="B292" s="78"/>
      <c r="C292" s="79">
        <v>46185</v>
      </c>
      <c r="D292" s="80"/>
      <c r="E292" s="81" t="s">
        <v>1</v>
      </c>
      <c r="F292" s="82"/>
      <c r="G292" s="41" t="s">
        <v>2</v>
      </c>
      <c r="H292" s="2"/>
      <c r="I292" s="3"/>
    </row>
    <row r="293" spans="1:35" ht="15" thickBot="1" x14ac:dyDescent="0.4">
      <c r="A293" s="83" t="s">
        <v>3</v>
      </c>
      <c r="B293" s="84"/>
      <c r="C293" s="8" t="s">
        <v>141</v>
      </c>
      <c r="D293" s="9"/>
      <c r="E293" s="85" t="s">
        <v>5</v>
      </c>
      <c r="F293" s="86"/>
      <c r="G293" s="42" t="s">
        <v>142</v>
      </c>
      <c r="H293" s="11"/>
      <c r="I293" s="12"/>
    </row>
    <row r="294" spans="1:35" ht="15" thickBot="1" x14ac:dyDescent="0.4">
      <c r="A294" s="13"/>
      <c r="B294" s="14" t="s">
        <v>6</v>
      </c>
      <c r="C294" s="15"/>
      <c r="D294" s="14" t="s">
        <v>7</v>
      </c>
      <c r="E294" s="16" t="s">
        <v>8</v>
      </c>
      <c r="F294" s="17" t="s">
        <v>9</v>
      </c>
      <c r="G294" s="18" t="s">
        <v>10</v>
      </c>
      <c r="H294" s="14" t="s">
        <v>11</v>
      </c>
      <c r="L294" s="4"/>
      <c r="M294"/>
      <c r="N294" s="58"/>
      <c r="O294"/>
      <c r="P294"/>
      <c r="T294"/>
      <c r="U294"/>
      <c r="V294"/>
      <c r="W294"/>
      <c r="X294"/>
      <c r="Y294"/>
      <c r="Z294"/>
      <c r="AA294"/>
      <c r="AB294"/>
      <c r="AC294" s="6"/>
      <c r="AE294" s="7"/>
      <c r="AF294" s="6"/>
      <c r="AI294" s="7"/>
    </row>
    <row r="295" spans="1:35" ht="29.5" thickBot="1" x14ac:dyDescent="0.4">
      <c r="A295" s="19">
        <v>1</v>
      </c>
      <c r="B295" s="20">
        <v>306127</v>
      </c>
      <c r="C295" s="21" t="s">
        <v>143</v>
      </c>
      <c r="D295" s="20" t="s">
        <v>23</v>
      </c>
      <c r="E295" s="20">
        <v>50</v>
      </c>
      <c r="F295" s="23">
        <v>50</v>
      </c>
      <c r="G295" s="20">
        <v>1760</v>
      </c>
      <c r="H295" s="24">
        <f t="shared" ref="H295" si="32">F295/G295</f>
        <v>2.8409090909090908E-2</v>
      </c>
      <c r="L295" s="4"/>
      <c r="M295"/>
      <c r="N295" s="58"/>
      <c r="O295"/>
      <c r="P295"/>
      <c r="T295"/>
      <c r="U295"/>
      <c r="V295"/>
      <c r="W295"/>
      <c r="X295"/>
      <c r="Y295"/>
      <c r="Z295"/>
      <c r="AA295"/>
      <c r="AB295"/>
      <c r="AC295" s="6"/>
      <c r="AE295" s="7"/>
      <c r="AF295" s="6"/>
      <c r="AI295" s="7"/>
    </row>
    <row r="296" spans="1:35" ht="15" thickBot="1" x14ac:dyDescent="0.4">
      <c r="A296" s="38"/>
      <c r="B296" s="53" t="s">
        <v>17</v>
      </c>
      <c r="C296" s="1" t="s">
        <v>144</v>
      </c>
      <c r="D296" s="21"/>
      <c r="E296" s="21"/>
      <c r="F296" s="31"/>
      <c r="G296" s="21"/>
      <c r="H296" s="21"/>
      <c r="L296" s="4"/>
      <c r="M296"/>
      <c r="N296" s="58"/>
      <c r="O296"/>
      <c r="P296"/>
      <c r="T296"/>
      <c r="U296"/>
      <c r="V296"/>
      <c r="W296"/>
      <c r="X296"/>
      <c r="Y296"/>
      <c r="Z296"/>
      <c r="AA296"/>
      <c r="AB296"/>
      <c r="AC296" s="6"/>
      <c r="AE296" s="7"/>
      <c r="AF296" s="6"/>
      <c r="AI296" s="7"/>
    </row>
    <row r="297" spans="1:35" ht="15" thickBot="1" x14ac:dyDescent="0.4">
      <c r="A297" s="54"/>
      <c r="B297" s="55" t="s">
        <v>17</v>
      </c>
      <c r="C297" s="33" t="s">
        <v>19</v>
      </c>
      <c r="D297" s="34"/>
      <c r="E297" s="34"/>
      <c r="F297" s="15"/>
      <c r="G297" s="34"/>
      <c r="H297" s="34"/>
      <c r="L297" s="4"/>
      <c r="M297"/>
      <c r="N297" s="58"/>
      <c r="O297"/>
      <c r="P297"/>
      <c r="T297"/>
      <c r="U297"/>
      <c r="V297"/>
      <c r="W297"/>
      <c r="X297"/>
      <c r="Y297"/>
      <c r="Z297"/>
      <c r="AA297"/>
      <c r="AB297"/>
      <c r="AC297" s="6"/>
      <c r="AE297" s="7"/>
      <c r="AF297" s="6"/>
      <c r="AI297" s="7"/>
    </row>
    <row r="298" spans="1:35" ht="15" thickBot="1" x14ac:dyDescent="0.4">
      <c r="A298" s="35"/>
      <c r="B298" s="35"/>
      <c r="C298" s="43"/>
      <c r="D298" s="35"/>
      <c r="E298" s="35"/>
      <c r="F298" s="44">
        <f>SUM(F295:F297)</f>
        <v>50</v>
      </c>
      <c r="G298" s="35"/>
      <c r="H298" s="45">
        <v>0.03</v>
      </c>
      <c r="L298" s="4"/>
      <c r="M298"/>
      <c r="N298" s="5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 s="6"/>
      <c r="AE298" s="7"/>
      <c r="AF298" s="6"/>
      <c r="AI298" s="7"/>
    </row>
    <row r="299" spans="1:35" ht="15" thickBot="1" x14ac:dyDescent="0.4">
      <c r="A299" s="77" t="s">
        <v>0</v>
      </c>
      <c r="B299" s="78"/>
      <c r="C299" s="79">
        <v>46185</v>
      </c>
      <c r="D299" s="80"/>
      <c r="E299" s="81" t="s">
        <v>1</v>
      </c>
      <c r="F299" s="82"/>
      <c r="G299" s="41" t="s">
        <v>2</v>
      </c>
      <c r="H299" s="2"/>
      <c r="I299" s="3"/>
    </row>
    <row r="300" spans="1:35" ht="15" thickBot="1" x14ac:dyDescent="0.4">
      <c r="A300" s="83" t="s">
        <v>3</v>
      </c>
      <c r="B300" s="84"/>
      <c r="C300" s="8" t="s">
        <v>145</v>
      </c>
      <c r="D300" s="9"/>
      <c r="E300" s="85" t="s">
        <v>5</v>
      </c>
      <c r="F300" s="86"/>
      <c r="G300" s="42" t="s">
        <v>142</v>
      </c>
      <c r="H300" s="11"/>
      <c r="I300" s="12"/>
    </row>
    <row r="301" spans="1:35" ht="15" thickBot="1" x14ac:dyDescent="0.4">
      <c r="A301" s="13"/>
      <c r="B301" s="14" t="s">
        <v>6</v>
      </c>
      <c r="C301" s="15"/>
      <c r="D301" s="14" t="s">
        <v>7</v>
      </c>
      <c r="E301" s="16" t="s">
        <v>8</v>
      </c>
      <c r="F301" s="17" t="s">
        <v>9</v>
      </c>
      <c r="G301" s="18" t="s">
        <v>10</v>
      </c>
      <c r="H301" s="14" t="s">
        <v>11</v>
      </c>
      <c r="L301" s="4"/>
      <c r="M301"/>
      <c r="N301" s="58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 s="6"/>
      <c r="AE301" s="7"/>
      <c r="AF301" s="6"/>
      <c r="AI301" s="7"/>
    </row>
    <row r="302" spans="1:35" ht="15" thickBot="1" x14ac:dyDescent="0.4">
      <c r="A302" s="19">
        <v>1</v>
      </c>
      <c r="B302" s="20">
        <v>303761</v>
      </c>
      <c r="C302" s="21" t="s">
        <v>146</v>
      </c>
      <c r="D302" s="20" t="s">
        <v>28</v>
      </c>
      <c r="E302" s="20">
        <v>20</v>
      </c>
      <c r="F302" s="23">
        <v>20</v>
      </c>
      <c r="G302" s="20">
        <v>1668</v>
      </c>
      <c r="H302" s="24">
        <f t="shared" ref="H302" si="33">F302/G302</f>
        <v>1.1990407673860911E-2</v>
      </c>
      <c r="L302" s="4"/>
      <c r="M302"/>
      <c r="N302" s="58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 s="6"/>
      <c r="AE302" s="7"/>
      <c r="AF302" s="6"/>
      <c r="AI302" s="7"/>
    </row>
    <row r="303" spans="1:35" ht="15" thickBot="1" x14ac:dyDescent="0.4">
      <c r="A303" s="38"/>
      <c r="B303" s="53" t="s">
        <v>17</v>
      </c>
      <c r="C303" s="1" t="s">
        <v>144</v>
      </c>
      <c r="D303" s="21"/>
      <c r="E303" s="21"/>
      <c r="F303" s="31"/>
      <c r="G303" s="21"/>
      <c r="H303" s="21"/>
      <c r="L303" s="4"/>
      <c r="M303"/>
      <c r="N303" s="58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 s="6"/>
      <c r="AE303" s="7"/>
      <c r="AF303" s="6"/>
      <c r="AI303" s="7"/>
    </row>
    <row r="304" spans="1:35" ht="15" thickBot="1" x14ac:dyDescent="0.4">
      <c r="A304" s="54"/>
      <c r="B304" s="55" t="s">
        <v>17</v>
      </c>
      <c r="C304" s="33" t="s">
        <v>19</v>
      </c>
      <c r="D304" s="34"/>
      <c r="E304" s="34"/>
      <c r="F304" s="15"/>
      <c r="G304" s="34"/>
      <c r="H304" s="34"/>
      <c r="L304" s="4"/>
      <c r="M304"/>
      <c r="N304" s="58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 s="6"/>
      <c r="AE304" s="7"/>
      <c r="AF304" s="6"/>
      <c r="AI304" s="7"/>
    </row>
    <row r="305" spans="1:35" ht="15" thickBot="1" x14ac:dyDescent="0.4">
      <c r="A305" s="35"/>
      <c r="B305" s="35"/>
      <c r="C305" s="43"/>
      <c r="D305" s="35"/>
      <c r="E305" s="35"/>
      <c r="F305" s="44">
        <f>SUM(F302:F304)</f>
        <v>20</v>
      </c>
      <c r="G305" s="35"/>
      <c r="H305" s="45">
        <v>0.01</v>
      </c>
      <c r="L305" s="4"/>
      <c r="M305"/>
      <c r="N305" s="58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 s="6"/>
      <c r="AE305" s="7"/>
      <c r="AF305" s="6"/>
      <c r="AI305" s="7"/>
    </row>
    <row r="306" spans="1:35" ht="15" thickBot="1" x14ac:dyDescent="0.4">
      <c r="A306" s="77" t="s">
        <v>0</v>
      </c>
      <c r="B306" s="78"/>
      <c r="C306" s="79">
        <v>46185</v>
      </c>
      <c r="D306" s="80"/>
      <c r="E306" s="81" t="s">
        <v>1</v>
      </c>
      <c r="F306" s="82"/>
      <c r="G306" s="41" t="s">
        <v>2</v>
      </c>
      <c r="H306" s="2"/>
      <c r="I306" s="3"/>
    </row>
    <row r="307" spans="1:35" ht="15" thickBot="1" x14ac:dyDescent="0.4">
      <c r="A307" s="83" t="s">
        <v>3</v>
      </c>
      <c r="B307" s="84"/>
      <c r="C307" s="8" t="s">
        <v>147</v>
      </c>
      <c r="D307" s="9"/>
      <c r="E307" s="85" t="s">
        <v>5</v>
      </c>
      <c r="F307" s="86"/>
      <c r="G307" s="42" t="s">
        <v>142</v>
      </c>
      <c r="H307" s="11"/>
      <c r="I307" s="12"/>
    </row>
    <row r="308" spans="1:35" ht="15" thickBot="1" x14ac:dyDescent="0.4">
      <c r="A308" s="13"/>
      <c r="B308" s="14" t="s">
        <v>6</v>
      </c>
      <c r="C308" s="15"/>
      <c r="D308" s="14" t="s">
        <v>7</v>
      </c>
      <c r="E308" s="16" t="s">
        <v>8</v>
      </c>
      <c r="F308" s="17" t="s">
        <v>9</v>
      </c>
      <c r="G308" s="18" t="s">
        <v>10</v>
      </c>
      <c r="H308" s="14" t="s">
        <v>11</v>
      </c>
      <c r="L308" s="4"/>
      <c r="M308"/>
      <c r="N308" s="5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 s="6"/>
      <c r="AE308" s="7"/>
      <c r="AF308" s="6"/>
      <c r="AI308" s="7"/>
    </row>
    <row r="309" spans="1:35" ht="15" thickBot="1" x14ac:dyDescent="0.4">
      <c r="A309" s="19">
        <v>1</v>
      </c>
      <c r="B309" s="20">
        <v>304955</v>
      </c>
      <c r="C309" s="21" t="s">
        <v>148</v>
      </c>
      <c r="D309" s="20" t="s">
        <v>23</v>
      </c>
      <c r="E309" s="20">
        <v>10</v>
      </c>
      <c r="F309" s="23">
        <v>10</v>
      </c>
      <c r="G309" s="20">
        <v>440</v>
      </c>
      <c r="H309" s="24">
        <f t="shared" ref="H309" si="34">F309/G309</f>
        <v>2.2727272727272728E-2</v>
      </c>
      <c r="L309" s="4"/>
      <c r="M309"/>
      <c r="N309" s="58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 s="6"/>
      <c r="AE309" s="7"/>
      <c r="AF309" s="6"/>
      <c r="AI309" s="7"/>
    </row>
    <row r="310" spans="1:35" ht="15" thickBot="1" x14ac:dyDescent="0.4">
      <c r="A310" s="38"/>
      <c r="B310" s="53" t="s">
        <v>17</v>
      </c>
      <c r="C310" s="1" t="s">
        <v>144</v>
      </c>
      <c r="D310" s="21"/>
      <c r="E310" s="21"/>
      <c r="F310" s="31"/>
      <c r="G310" s="21"/>
      <c r="H310" s="21"/>
      <c r="L310" s="4"/>
      <c r="M310"/>
      <c r="N310" s="58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 s="6"/>
      <c r="AE310" s="7"/>
      <c r="AF310" s="6"/>
      <c r="AI310" s="7"/>
    </row>
    <row r="311" spans="1:35" ht="15" thickBot="1" x14ac:dyDescent="0.4">
      <c r="A311" s="54"/>
      <c r="B311" s="55" t="s">
        <v>17</v>
      </c>
      <c r="C311" s="33" t="s">
        <v>19</v>
      </c>
      <c r="D311" s="34"/>
      <c r="E311" s="34"/>
      <c r="F311" s="15"/>
      <c r="G311" s="34"/>
      <c r="H311" s="34"/>
      <c r="L311" s="4"/>
      <c r="M311"/>
      <c r="N311" s="58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 s="6"/>
      <c r="AE311" s="7"/>
      <c r="AF311" s="6"/>
      <c r="AI311" s="7"/>
    </row>
    <row r="312" spans="1:35" ht="15" thickBot="1" x14ac:dyDescent="0.4">
      <c r="A312" s="35"/>
      <c r="B312" s="35"/>
      <c r="C312" s="43"/>
      <c r="D312" s="35"/>
      <c r="E312" s="35"/>
      <c r="F312" s="44">
        <f>SUM(F309:F311)</f>
        <v>10</v>
      </c>
      <c r="G312" s="35"/>
      <c r="H312" s="45">
        <v>0.02</v>
      </c>
      <c r="L312" s="4"/>
      <c r="M312"/>
      <c r="N312" s="58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 s="6"/>
      <c r="AE312" s="7"/>
      <c r="AF312" s="6"/>
      <c r="AI312" s="7"/>
    </row>
    <row r="313" spans="1:35" ht="15" thickBot="1" x14ac:dyDescent="0.4">
      <c r="A313" s="77" t="s">
        <v>0</v>
      </c>
      <c r="B313" s="78"/>
      <c r="C313" s="79">
        <v>46196</v>
      </c>
      <c r="D313" s="80"/>
      <c r="E313" s="81" t="s">
        <v>1</v>
      </c>
      <c r="F313" s="82"/>
      <c r="G313" s="41" t="s">
        <v>58</v>
      </c>
      <c r="H313" s="2"/>
      <c r="I313" s="3"/>
    </row>
    <row r="314" spans="1:35" ht="15" thickBot="1" x14ac:dyDescent="0.4">
      <c r="A314" s="83" t="s">
        <v>3</v>
      </c>
      <c r="B314" s="84"/>
      <c r="C314" s="8" t="s">
        <v>150</v>
      </c>
      <c r="D314" s="9"/>
      <c r="E314" s="85" t="s">
        <v>5</v>
      </c>
      <c r="F314" s="86"/>
      <c r="G314" s="10">
        <v>113007</v>
      </c>
      <c r="H314" s="11"/>
      <c r="I314" s="12"/>
    </row>
    <row r="315" spans="1:35" ht="15" thickBot="1" x14ac:dyDescent="0.4">
      <c r="A315" s="13"/>
      <c r="B315" s="14" t="s">
        <v>6</v>
      </c>
      <c r="C315" s="15"/>
      <c r="D315" s="14" t="s">
        <v>7</v>
      </c>
      <c r="E315" s="16" t="s">
        <v>8</v>
      </c>
      <c r="F315" s="17" t="s">
        <v>9</v>
      </c>
      <c r="G315" s="18" t="s">
        <v>10</v>
      </c>
      <c r="H315" s="14" t="s">
        <v>11</v>
      </c>
      <c r="L315" s="4"/>
      <c r="M315"/>
      <c r="N315" s="58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 s="6"/>
      <c r="AE315" s="7"/>
      <c r="AF315" s="6"/>
      <c r="AI315" s="7"/>
    </row>
    <row r="316" spans="1:35" ht="15" thickBot="1" x14ac:dyDescent="0.4">
      <c r="A316" s="19">
        <v>1</v>
      </c>
      <c r="B316" s="20">
        <v>305245</v>
      </c>
      <c r="C316" s="21" t="s">
        <v>151</v>
      </c>
      <c r="D316" s="20" t="s">
        <v>23</v>
      </c>
      <c r="E316" s="20">
        <v>30</v>
      </c>
      <c r="F316" s="23">
        <v>30</v>
      </c>
      <c r="G316" s="20">
        <v>16956</v>
      </c>
      <c r="H316" s="24">
        <f t="shared" ref="H316:H318" si="35">F316/G316</f>
        <v>1.7692852087756545E-3</v>
      </c>
      <c r="L316" s="4"/>
      <c r="M316"/>
      <c r="N316" s="58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 s="6"/>
      <c r="AE316" s="7"/>
      <c r="AF316" s="6"/>
      <c r="AI316" s="7"/>
    </row>
    <row r="317" spans="1:35" ht="15" thickBot="1" x14ac:dyDescent="0.4">
      <c r="A317" s="19">
        <v>2</v>
      </c>
      <c r="B317" s="20">
        <v>305246</v>
      </c>
      <c r="C317" s="21" t="s">
        <v>152</v>
      </c>
      <c r="D317" s="20" t="s">
        <v>23</v>
      </c>
      <c r="E317" s="20">
        <v>12</v>
      </c>
      <c r="F317" s="23">
        <v>12</v>
      </c>
      <c r="G317" s="20">
        <v>12600</v>
      </c>
      <c r="H317" s="24">
        <f t="shared" si="35"/>
        <v>9.5238095238095238E-4</v>
      </c>
      <c r="L317" s="4"/>
      <c r="M317"/>
      <c r="N317" s="58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 s="6"/>
      <c r="AE317" s="7"/>
      <c r="AF317" s="6"/>
      <c r="AI317" s="7"/>
    </row>
    <row r="318" spans="1:35" ht="15" thickBot="1" x14ac:dyDescent="0.4">
      <c r="A318" s="19">
        <v>3</v>
      </c>
      <c r="B318" s="20">
        <v>305247</v>
      </c>
      <c r="C318" s="21" t="s">
        <v>153</v>
      </c>
      <c r="D318" s="20" t="s">
        <v>23</v>
      </c>
      <c r="E318" s="20">
        <v>12</v>
      </c>
      <c r="F318" s="23">
        <v>12</v>
      </c>
      <c r="G318" s="20">
        <v>8208</v>
      </c>
      <c r="H318" s="24">
        <f t="shared" si="35"/>
        <v>1.4619883040935672E-3</v>
      </c>
      <c r="L318" s="4"/>
      <c r="M318"/>
      <c r="N318" s="5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 s="6"/>
      <c r="AE318" s="7"/>
      <c r="AF318" s="6"/>
      <c r="AI318" s="7"/>
    </row>
    <row r="319" spans="1:35" ht="15" thickBot="1" x14ac:dyDescent="0.4">
      <c r="A319" s="38"/>
      <c r="B319" s="39" t="s">
        <v>17</v>
      </c>
      <c r="C319" s="30" t="s">
        <v>18</v>
      </c>
      <c r="D319" s="21"/>
      <c r="E319" s="21"/>
      <c r="F319" s="31"/>
      <c r="G319" s="21"/>
      <c r="H319" s="21"/>
      <c r="L319" s="4"/>
      <c r="M319"/>
      <c r="N319" s="58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 s="6"/>
      <c r="AE319" s="7"/>
      <c r="AF319" s="6"/>
      <c r="AI319" s="7"/>
    </row>
    <row r="320" spans="1:35" ht="15" thickBot="1" x14ac:dyDescent="0.4">
      <c r="A320" s="32"/>
      <c r="B320" s="29" t="s">
        <v>17</v>
      </c>
      <c r="C320" s="33" t="s">
        <v>19</v>
      </c>
      <c r="D320" s="34"/>
      <c r="E320" s="34"/>
      <c r="F320" s="15"/>
      <c r="G320" s="34"/>
      <c r="H320" s="34"/>
      <c r="L320" s="4"/>
      <c r="M320"/>
      <c r="N320" s="58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 s="6"/>
      <c r="AE320" s="7"/>
      <c r="AF320" s="6"/>
      <c r="AI320" s="7"/>
    </row>
    <row r="321" spans="1:35" ht="15" thickBot="1" x14ac:dyDescent="0.4">
      <c r="A321" s="35"/>
      <c r="B321" s="35"/>
      <c r="C321" s="43"/>
      <c r="D321" s="35"/>
      <c r="E321" s="35"/>
      <c r="F321" s="44">
        <f>SUM(F316:F320)</f>
        <v>54</v>
      </c>
      <c r="G321" s="35"/>
      <c r="H321" s="45">
        <f>SUM(H316:H320)</f>
        <v>4.1836544652501736E-3</v>
      </c>
      <c r="L321" s="4"/>
      <c r="M321"/>
      <c r="N321" s="58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 s="6"/>
      <c r="AE321" s="7"/>
      <c r="AF321" s="6"/>
      <c r="AI321" s="7"/>
    </row>
    <row r="322" spans="1:35" ht="15" thickBot="1" x14ac:dyDescent="0.4">
      <c r="A322" s="77" t="s">
        <v>0</v>
      </c>
      <c r="B322" s="78"/>
      <c r="C322" s="79">
        <v>46204</v>
      </c>
      <c r="D322" s="80"/>
      <c r="E322" s="81" t="s">
        <v>1</v>
      </c>
      <c r="F322" s="82"/>
      <c r="G322" s="41" t="s">
        <v>2</v>
      </c>
      <c r="H322" s="2"/>
      <c r="I322" s="3"/>
    </row>
    <row r="323" spans="1:35" ht="15" thickBot="1" x14ac:dyDescent="0.4">
      <c r="A323" s="83" t="s">
        <v>3</v>
      </c>
      <c r="B323" s="84"/>
      <c r="C323" s="8" t="s">
        <v>154</v>
      </c>
      <c r="D323" s="9"/>
      <c r="E323" s="85" t="s">
        <v>5</v>
      </c>
      <c r="F323" s="86"/>
      <c r="G323" s="10">
        <v>113142</v>
      </c>
      <c r="H323" s="11"/>
      <c r="I323" s="12"/>
    </row>
    <row r="324" spans="1:35" ht="15" thickBot="1" x14ac:dyDescent="0.4">
      <c r="A324" s="13"/>
      <c r="B324" s="14" t="s">
        <v>6</v>
      </c>
      <c r="C324" s="15"/>
      <c r="D324" s="14" t="s">
        <v>7</v>
      </c>
      <c r="E324" s="16" t="s">
        <v>8</v>
      </c>
      <c r="F324" s="17" t="s">
        <v>9</v>
      </c>
      <c r="G324" s="18" t="s">
        <v>10</v>
      </c>
      <c r="H324" s="14" t="s">
        <v>11</v>
      </c>
      <c r="L324" s="4"/>
      <c r="M324"/>
      <c r="N324" s="58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 s="6"/>
      <c r="AE324" s="7"/>
      <c r="AF324" s="6"/>
      <c r="AI324" s="7"/>
    </row>
    <row r="325" spans="1:35" ht="15" thickBot="1" x14ac:dyDescent="0.4">
      <c r="A325" s="19">
        <v>1</v>
      </c>
      <c r="B325" s="20">
        <v>305029</v>
      </c>
      <c r="C325" s="21" t="s">
        <v>155</v>
      </c>
      <c r="D325" s="20" t="s">
        <v>23</v>
      </c>
      <c r="E325" s="20">
        <v>38</v>
      </c>
      <c r="F325" s="23">
        <v>38</v>
      </c>
      <c r="G325" s="20">
        <v>2205</v>
      </c>
      <c r="H325" s="24">
        <f t="shared" ref="H325:H328" si="36">F325/G325</f>
        <v>1.7233560090702947E-2</v>
      </c>
      <c r="L325" s="4"/>
      <c r="M325"/>
      <c r="N325" s="58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 s="6"/>
      <c r="AE325" s="7"/>
      <c r="AF325" s="6"/>
      <c r="AI325" s="7"/>
    </row>
    <row r="326" spans="1:35" ht="15" thickBot="1" x14ac:dyDescent="0.4">
      <c r="A326" s="19">
        <v>2</v>
      </c>
      <c r="B326" s="20">
        <v>305030</v>
      </c>
      <c r="C326" s="21" t="s">
        <v>156</v>
      </c>
      <c r="D326" s="20" t="s">
        <v>23</v>
      </c>
      <c r="E326" s="20">
        <v>287</v>
      </c>
      <c r="F326" s="23">
        <v>287</v>
      </c>
      <c r="G326" s="20">
        <v>1800</v>
      </c>
      <c r="H326" s="24">
        <f t="shared" si="36"/>
        <v>0.15944444444444444</v>
      </c>
      <c r="L326" s="4"/>
      <c r="M326"/>
      <c r="N326" s="58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 s="6"/>
      <c r="AE326" s="7"/>
      <c r="AF326" s="6"/>
      <c r="AI326" s="7"/>
    </row>
    <row r="327" spans="1:35" ht="15" thickBot="1" x14ac:dyDescent="0.4">
      <c r="A327" s="19">
        <v>3</v>
      </c>
      <c r="B327" s="20">
        <v>305031</v>
      </c>
      <c r="C327" s="21" t="s">
        <v>157</v>
      </c>
      <c r="D327" s="20" t="s">
        <v>23</v>
      </c>
      <c r="E327" s="20">
        <v>447</v>
      </c>
      <c r="F327" s="23">
        <v>447</v>
      </c>
      <c r="G327" s="20">
        <v>1450</v>
      </c>
      <c r="H327" s="24">
        <f t="shared" si="36"/>
        <v>0.30827586206896551</v>
      </c>
      <c r="L327" s="4"/>
      <c r="M327"/>
      <c r="N327" s="58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 s="6"/>
      <c r="AE327" s="7"/>
      <c r="AF327" s="6"/>
      <c r="AI327" s="7"/>
    </row>
    <row r="328" spans="1:35" ht="15" thickBot="1" x14ac:dyDescent="0.4">
      <c r="A328" s="19">
        <v>4</v>
      </c>
      <c r="B328" s="20">
        <v>305032</v>
      </c>
      <c r="C328" s="21" t="s">
        <v>158</v>
      </c>
      <c r="D328" s="20" t="s">
        <v>23</v>
      </c>
      <c r="E328" s="20">
        <v>320</v>
      </c>
      <c r="F328" s="23">
        <v>320</v>
      </c>
      <c r="G328" s="20">
        <v>1080</v>
      </c>
      <c r="H328" s="24">
        <f t="shared" si="36"/>
        <v>0.29629629629629628</v>
      </c>
      <c r="L328" s="4"/>
      <c r="M328"/>
      <c r="N328" s="5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 s="6"/>
      <c r="AE328" s="7"/>
      <c r="AF328" s="6"/>
      <c r="AI328" s="7"/>
    </row>
    <row r="329" spans="1:35" ht="15" thickBot="1" x14ac:dyDescent="0.4">
      <c r="A329" s="38"/>
      <c r="B329" s="39" t="s">
        <v>17</v>
      </c>
      <c r="C329" s="30" t="s">
        <v>18</v>
      </c>
      <c r="D329" s="21"/>
      <c r="E329" s="21"/>
      <c r="F329" s="31"/>
      <c r="G329" s="21"/>
      <c r="H329" s="21"/>
      <c r="L329" s="4"/>
      <c r="M329"/>
      <c r="N329" s="58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 s="6"/>
      <c r="AE329" s="7"/>
      <c r="AF329" s="6"/>
      <c r="AI329" s="7"/>
    </row>
    <row r="330" spans="1:35" ht="15" thickBot="1" x14ac:dyDescent="0.4">
      <c r="A330" s="38"/>
      <c r="B330" s="39" t="s">
        <v>17</v>
      </c>
      <c r="C330" s="30" t="s">
        <v>80</v>
      </c>
      <c r="D330" s="21"/>
      <c r="E330" s="21"/>
      <c r="F330" s="31"/>
      <c r="G330" s="21"/>
      <c r="H330" s="21"/>
      <c r="L330" s="4"/>
      <c r="M330"/>
      <c r="N330" s="58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 s="6"/>
      <c r="AE330" s="7"/>
      <c r="AF330" s="6"/>
      <c r="AI330" s="7"/>
    </row>
    <row r="331" spans="1:35" ht="15" thickBot="1" x14ac:dyDescent="0.4">
      <c r="A331" s="54"/>
      <c r="B331" s="29" t="s">
        <v>17</v>
      </c>
      <c r="C331" s="33" t="s">
        <v>19</v>
      </c>
      <c r="D331" s="34"/>
      <c r="E331" s="34"/>
      <c r="F331" s="15"/>
      <c r="G331" s="34"/>
      <c r="H331" s="34"/>
      <c r="L331" s="4"/>
      <c r="M331"/>
      <c r="N331" s="58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 s="6"/>
      <c r="AE331" s="7"/>
      <c r="AF331" s="6"/>
      <c r="AI331" s="7"/>
    </row>
    <row r="332" spans="1:35" ht="15" thickBot="1" x14ac:dyDescent="0.4">
      <c r="A332" s="35"/>
      <c r="B332" s="35"/>
      <c r="C332" s="43"/>
      <c r="D332" s="35"/>
      <c r="E332" s="35"/>
      <c r="F332" s="44">
        <f>SUM(F325:F331)</f>
        <v>1092</v>
      </c>
      <c r="G332" s="35"/>
      <c r="H332" s="45">
        <f>SUM(H325:H331)</f>
        <v>0.78125016290040916</v>
      </c>
      <c r="L332" s="4"/>
      <c r="M332"/>
      <c r="N332" s="58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 s="6"/>
      <c r="AE332" s="7"/>
      <c r="AF332" s="6"/>
      <c r="AI332" s="7"/>
    </row>
    <row r="333" spans="1:35" ht="15" thickBot="1" x14ac:dyDescent="0.4">
      <c r="A333" s="77" t="s">
        <v>0</v>
      </c>
      <c r="B333" s="78"/>
      <c r="C333" s="79">
        <v>46204</v>
      </c>
      <c r="D333" s="80"/>
      <c r="E333" s="81" t="s">
        <v>1</v>
      </c>
      <c r="F333" s="82"/>
      <c r="G333" s="41" t="s">
        <v>2</v>
      </c>
      <c r="H333" s="2"/>
      <c r="I333" s="3"/>
    </row>
    <row r="334" spans="1:35" ht="15" thickBot="1" x14ac:dyDescent="0.4">
      <c r="A334" s="83" t="s">
        <v>3</v>
      </c>
      <c r="B334" s="84"/>
      <c r="C334" s="8" t="s">
        <v>159</v>
      </c>
      <c r="D334" s="9"/>
      <c r="E334" s="85" t="s">
        <v>5</v>
      </c>
      <c r="F334" s="86"/>
      <c r="G334" s="10">
        <v>113142</v>
      </c>
      <c r="H334" s="11"/>
      <c r="I334" s="12"/>
    </row>
    <row r="335" spans="1:35" ht="15" thickBot="1" x14ac:dyDescent="0.4">
      <c r="A335" s="13"/>
      <c r="B335" s="14" t="s">
        <v>6</v>
      </c>
      <c r="C335" s="15"/>
      <c r="D335" s="14" t="s">
        <v>7</v>
      </c>
      <c r="E335" s="16" t="s">
        <v>8</v>
      </c>
      <c r="F335" s="17" t="s">
        <v>9</v>
      </c>
      <c r="G335" s="18" t="s">
        <v>10</v>
      </c>
      <c r="H335" s="14" t="s">
        <v>11</v>
      </c>
      <c r="L335" s="4"/>
      <c r="M335"/>
      <c r="N335" s="58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 s="6"/>
      <c r="AE335" s="7"/>
      <c r="AF335" s="6"/>
      <c r="AI335" s="7"/>
    </row>
    <row r="336" spans="1:35" ht="15" thickBot="1" x14ac:dyDescent="0.4">
      <c r="A336" s="19">
        <v>1</v>
      </c>
      <c r="B336" s="20">
        <v>306209</v>
      </c>
      <c r="C336" s="21" t="s">
        <v>160</v>
      </c>
      <c r="D336" s="20" t="s">
        <v>23</v>
      </c>
      <c r="E336" s="20">
        <v>50</v>
      </c>
      <c r="F336" s="23">
        <v>50</v>
      </c>
      <c r="G336" s="20">
        <v>162</v>
      </c>
      <c r="H336" s="24">
        <f t="shared" ref="H336" si="37">F336/G336</f>
        <v>0.30864197530864196</v>
      </c>
      <c r="L336" s="4"/>
      <c r="M336"/>
      <c r="N336" s="58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 s="6"/>
      <c r="AE336" s="7"/>
      <c r="AF336" s="6"/>
      <c r="AI336" s="7"/>
    </row>
    <row r="337" spans="1:36" ht="15" thickBot="1" x14ac:dyDescent="0.4">
      <c r="A337" s="38"/>
      <c r="B337" s="21"/>
      <c r="C337" s="21" t="s">
        <v>161</v>
      </c>
      <c r="D337" s="21"/>
      <c r="E337" s="21"/>
      <c r="F337" s="31"/>
      <c r="G337" s="21"/>
      <c r="H337" s="21"/>
      <c r="L337" s="4"/>
      <c r="M337"/>
      <c r="N337" s="58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 s="6"/>
      <c r="AE337" s="7"/>
      <c r="AF337" s="6"/>
      <c r="AI337" s="7"/>
    </row>
    <row r="338" spans="1:36" ht="15" thickBot="1" x14ac:dyDescent="0.4">
      <c r="A338" s="38"/>
      <c r="B338" s="21"/>
      <c r="C338" s="21" t="s">
        <v>162</v>
      </c>
      <c r="D338" s="21"/>
      <c r="E338" s="21"/>
      <c r="F338" s="31"/>
      <c r="G338" s="21"/>
      <c r="H338" s="21"/>
      <c r="L338" s="4"/>
      <c r="M338"/>
      <c r="N338" s="5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 s="6"/>
      <c r="AE338" s="7"/>
      <c r="AF338" s="6"/>
      <c r="AI338" s="7"/>
    </row>
    <row r="339" spans="1:36" ht="15" thickBot="1" x14ac:dyDescent="0.4">
      <c r="A339" s="38"/>
      <c r="B339" s="39" t="s">
        <v>17</v>
      </c>
      <c r="C339" s="30" t="s">
        <v>18</v>
      </c>
      <c r="D339" s="21"/>
      <c r="E339" s="21"/>
      <c r="F339" s="31"/>
      <c r="G339" s="21"/>
      <c r="H339" s="21"/>
      <c r="L339" s="4"/>
      <c r="M339"/>
      <c r="N339" s="58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 s="6"/>
      <c r="AE339" s="7"/>
      <c r="AF339" s="6"/>
      <c r="AI339" s="7"/>
    </row>
    <row r="340" spans="1:36" ht="15" thickBot="1" x14ac:dyDescent="0.4">
      <c r="A340" s="54"/>
      <c r="B340" s="29" t="s">
        <v>17</v>
      </c>
      <c r="C340" s="33" t="s">
        <v>19</v>
      </c>
      <c r="D340" s="34"/>
      <c r="E340" s="34"/>
      <c r="F340" s="15"/>
      <c r="G340" s="34"/>
      <c r="H340" s="34"/>
      <c r="L340" s="4"/>
      <c r="M340"/>
      <c r="N340" s="58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 s="6"/>
      <c r="AE340" s="7"/>
      <c r="AF340" s="6"/>
      <c r="AI340" s="7"/>
    </row>
    <row r="341" spans="1:36" ht="15" thickBot="1" x14ac:dyDescent="0.4">
      <c r="A341" s="35"/>
      <c r="B341" s="35"/>
      <c r="C341" s="43"/>
      <c r="D341" s="35"/>
      <c r="E341" s="35"/>
      <c r="F341" s="44">
        <f>SUM(F336:F340)</f>
        <v>50</v>
      </c>
      <c r="G341" s="35"/>
      <c r="H341" s="45">
        <f>SUM(H336:H340)</f>
        <v>0.30864197530864196</v>
      </c>
      <c r="L341" s="4"/>
      <c r="M341"/>
      <c r="N341" s="58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 s="6"/>
      <c r="AE341" s="7"/>
      <c r="AF341" s="6"/>
      <c r="AI341" s="7"/>
    </row>
    <row r="342" spans="1:36" ht="15" thickBot="1" x14ac:dyDescent="0.4">
      <c r="A342" s="77" t="s">
        <v>0</v>
      </c>
      <c r="B342" s="78"/>
      <c r="C342" s="79">
        <v>46212</v>
      </c>
      <c r="D342" s="80"/>
      <c r="E342" s="81" t="s">
        <v>1</v>
      </c>
      <c r="F342" s="82"/>
      <c r="G342" s="41" t="s">
        <v>164</v>
      </c>
      <c r="H342" s="2"/>
      <c r="I342" s="3"/>
      <c r="L342" s="4"/>
      <c r="M342" s="5"/>
      <c r="N342" s="4"/>
      <c r="AB342"/>
      <c r="AC342" s="6"/>
      <c r="AE342" s="7"/>
      <c r="AF342" s="6"/>
      <c r="AI342" s="7"/>
      <c r="AJ342"/>
    </row>
    <row r="343" spans="1:36" ht="15" thickBot="1" x14ac:dyDescent="0.4">
      <c r="A343" s="83" t="s">
        <v>3</v>
      </c>
      <c r="B343" s="84"/>
      <c r="C343" s="8" t="s">
        <v>165</v>
      </c>
      <c r="D343" s="9"/>
      <c r="E343" s="85" t="s">
        <v>5</v>
      </c>
      <c r="F343" s="86"/>
      <c r="G343" s="42" t="s">
        <v>166</v>
      </c>
      <c r="H343" s="11"/>
      <c r="I343" s="12"/>
      <c r="L343" s="4"/>
      <c r="M343" s="5"/>
      <c r="N343" s="4"/>
      <c r="AB343"/>
      <c r="AC343" s="6"/>
      <c r="AE343" s="7"/>
      <c r="AF343" s="6"/>
      <c r="AI343" s="7"/>
      <c r="AJ343"/>
    </row>
    <row r="344" spans="1:36" ht="15" thickBot="1" x14ac:dyDescent="0.4">
      <c r="A344" s="13"/>
      <c r="B344" s="14" t="s">
        <v>6</v>
      </c>
      <c r="C344" s="15"/>
      <c r="D344" s="14" t="s">
        <v>7</v>
      </c>
      <c r="E344" s="16" t="s">
        <v>8</v>
      </c>
      <c r="F344" s="17" t="s">
        <v>9</v>
      </c>
      <c r="G344" s="18" t="s">
        <v>10</v>
      </c>
      <c r="H344" s="14" t="s">
        <v>11</v>
      </c>
      <c r="K344" s="4"/>
      <c r="L344" s="5"/>
      <c r="N344" s="4"/>
      <c r="AA344"/>
      <c r="AB344" s="6"/>
      <c r="AC344" s="6"/>
      <c r="AD344" s="7"/>
      <c r="AF344" s="6"/>
      <c r="AH344" s="7"/>
      <c r="AI344"/>
      <c r="AJ344"/>
    </row>
    <row r="345" spans="1:36" ht="15" thickBot="1" x14ac:dyDescent="0.4">
      <c r="A345" s="19">
        <v>1</v>
      </c>
      <c r="B345" s="20">
        <v>302267</v>
      </c>
      <c r="C345" s="21" t="s">
        <v>167</v>
      </c>
      <c r="D345" s="20" t="s">
        <v>28</v>
      </c>
      <c r="E345" s="20">
        <v>180</v>
      </c>
      <c r="F345" s="23">
        <v>180</v>
      </c>
      <c r="G345" s="20">
        <v>17136</v>
      </c>
      <c r="H345" s="24">
        <f t="shared" ref="H345:H346" si="38">F345/G345</f>
        <v>1.050420168067227E-2</v>
      </c>
      <c r="K345" s="4"/>
      <c r="L345" s="5"/>
      <c r="N345" s="4"/>
      <c r="AA345"/>
      <c r="AB345" s="6"/>
      <c r="AC345" s="6"/>
      <c r="AD345" s="7"/>
      <c r="AF345" s="6"/>
      <c r="AH345" s="7"/>
      <c r="AI345"/>
      <c r="AJ345"/>
    </row>
    <row r="346" spans="1:36" ht="15" thickBot="1" x14ac:dyDescent="0.4">
      <c r="A346" s="19">
        <v>2</v>
      </c>
      <c r="B346" s="20">
        <v>302269</v>
      </c>
      <c r="C346" s="21" t="s">
        <v>168</v>
      </c>
      <c r="D346" s="20" t="s">
        <v>28</v>
      </c>
      <c r="E346" s="20">
        <v>708</v>
      </c>
      <c r="F346" s="23">
        <v>708</v>
      </c>
      <c r="G346" s="20">
        <v>7800</v>
      </c>
      <c r="H346" s="24">
        <f t="shared" si="38"/>
        <v>9.0769230769230769E-2</v>
      </c>
      <c r="K346" s="4"/>
      <c r="L346" s="5"/>
      <c r="N346" s="4"/>
      <c r="AA346"/>
      <c r="AB346" s="6"/>
      <c r="AC346" s="6"/>
      <c r="AD346" s="7"/>
      <c r="AF346" s="6"/>
      <c r="AH346" s="7"/>
      <c r="AI346"/>
      <c r="AJ346"/>
    </row>
    <row r="347" spans="1:36" ht="15" thickBot="1" x14ac:dyDescent="0.4">
      <c r="A347" s="38"/>
      <c r="B347" s="39" t="s">
        <v>17</v>
      </c>
      <c r="C347" s="30" t="s">
        <v>18</v>
      </c>
      <c r="D347" s="21"/>
      <c r="E347" s="21"/>
      <c r="F347" s="31"/>
      <c r="G347" s="21"/>
      <c r="H347" s="21"/>
      <c r="K347" s="4"/>
      <c r="L347" s="5"/>
      <c r="N347" s="4"/>
      <c r="AA347"/>
      <c r="AB347" s="6"/>
      <c r="AC347" s="6"/>
      <c r="AD347" s="7"/>
      <c r="AF347" s="6"/>
      <c r="AH347" s="7"/>
      <c r="AI347"/>
      <c r="AJ347"/>
    </row>
    <row r="348" spans="1:36" ht="15" thickBot="1" x14ac:dyDescent="0.4">
      <c r="A348" s="54"/>
      <c r="B348" s="29" t="s">
        <v>17</v>
      </c>
      <c r="C348" s="33" t="s">
        <v>169</v>
      </c>
      <c r="D348" s="34"/>
      <c r="E348" s="34"/>
      <c r="F348" s="15"/>
      <c r="G348" s="34"/>
      <c r="H348" s="34"/>
      <c r="K348" s="4"/>
      <c r="L348" s="5"/>
      <c r="N348" s="4"/>
      <c r="AA348"/>
      <c r="AB348" s="6"/>
      <c r="AC348" s="6"/>
      <c r="AD348" s="7"/>
      <c r="AF348" s="6"/>
      <c r="AH348" s="7"/>
      <c r="AI348"/>
      <c r="AJ348"/>
    </row>
    <row r="349" spans="1:36" ht="15" thickBot="1" x14ac:dyDescent="0.4">
      <c r="A349" s="35"/>
      <c r="B349" s="35"/>
      <c r="C349" s="43"/>
      <c r="D349" s="35"/>
      <c r="E349" s="35"/>
      <c r="F349" s="44">
        <f>SUM(F345:F348)</f>
        <v>888</v>
      </c>
      <c r="G349" s="35"/>
      <c r="H349" s="45">
        <f>SUM(H345:H348)</f>
        <v>0.10127343244990304</v>
      </c>
      <c r="K349" s="4"/>
      <c r="L349" s="5"/>
      <c r="N349" s="4"/>
      <c r="AA349"/>
      <c r="AB349" s="6"/>
      <c r="AC349" s="6"/>
      <c r="AD349" s="7"/>
      <c r="AF349" s="6"/>
      <c r="AH349" s="7"/>
      <c r="AI349"/>
      <c r="AJ349"/>
    </row>
    <row r="350" spans="1:36" ht="15" thickBot="1" x14ac:dyDescent="0.4">
      <c r="A350" s="77" t="s">
        <v>0</v>
      </c>
      <c r="B350" s="78"/>
      <c r="C350" s="79">
        <v>46212</v>
      </c>
      <c r="D350" s="80"/>
      <c r="E350" s="81" t="s">
        <v>1</v>
      </c>
      <c r="F350" s="82"/>
      <c r="G350" s="41" t="s">
        <v>164</v>
      </c>
      <c r="H350" s="2"/>
      <c r="I350" s="3"/>
      <c r="L350" s="4"/>
      <c r="M350" s="5"/>
      <c r="N350" s="4"/>
      <c r="AB350"/>
      <c r="AC350" s="6"/>
      <c r="AE350" s="7"/>
      <c r="AF350" s="6"/>
      <c r="AI350" s="7"/>
      <c r="AJ350"/>
    </row>
    <row r="351" spans="1:36" ht="15" thickBot="1" x14ac:dyDescent="0.4">
      <c r="A351" s="83" t="s">
        <v>3</v>
      </c>
      <c r="B351" s="84"/>
      <c r="C351" s="8" t="s">
        <v>170</v>
      </c>
      <c r="D351" s="9"/>
      <c r="E351" s="85" t="s">
        <v>5</v>
      </c>
      <c r="F351" s="86"/>
      <c r="G351" s="42" t="s">
        <v>166</v>
      </c>
      <c r="H351" s="11"/>
      <c r="I351" s="12"/>
      <c r="L351" s="4"/>
      <c r="M351" s="5"/>
      <c r="N351" s="4"/>
      <c r="AB351"/>
      <c r="AC351" s="6"/>
      <c r="AE351" s="7"/>
      <c r="AF351" s="6"/>
      <c r="AI351" s="7"/>
      <c r="AJ351"/>
    </row>
    <row r="352" spans="1:36" ht="15" thickBot="1" x14ac:dyDescent="0.4">
      <c r="A352" s="13"/>
      <c r="B352" s="14" t="s">
        <v>6</v>
      </c>
      <c r="C352" s="15"/>
      <c r="D352" s="14" t="s">
        <v>7</v>
      </c>
      <c r="E352" s="16" t="s">
        <v>8</v>
      </c>
      <c r="F352" s="17" t="s">
        <v>9</v>
      </c>
      <c r="G352" s="18" t="s">
        <v>10</v>
      </c>
      <c r="H352" s="14" t="s">
        <v>11</v>
      </c>
      <c r="K352" s="4"/>
      <c r="L352" s="5"/>
      <c r="N352" s="4"/>
      <c r="AA352"/>
      <c r="AB352" s="6"/>
      <c r="AC352" s="6"/>
      <c r="AD352" s="7"/>
      <c r="AF352" s="6"/>
      <c r="AH352" s="7"/>
      <c r="AI352"/>
      <c r="AJ352"/>
    </row>
    <row r="353" spans="1:36" ht="15" thickBot="1" x14ac:dyDescent="0.4">
      <c r="A353" s="19">
        <v>1</v>
      </c>
      <c r="B353" s="20">
        <v>304899</v>
      </c>
      <c r="C353" s="21" t="s">
        <v>84</v>
      </c>
      <c r="D353" s="20" t="s">
        <v>23</v>
      </c>
      <c r="E353" s="20">
        <v>2112</v>
      </c>
      <c r="F353" s="23">
        <v>2112</v>
      </c>
      <c r="G353" s="20">
        <v>53280</v>
      </c>
      <c r="H353" s="24">
        <f t="shared" ref="H353:H355" si="39">F353/G353</f>
        <v>3.9639639639639637E-2</v>
      </c>
      <c r="K353" s="4"/>
      <c r="L353" s="5"/>
      <c r="N353" s="4"/>
      <c r="AA353"/>
      <c r="AB353" s="6"/>
      <c r="AC353" s="6"/>
      <c r="AD353" s="7"/>
      <c r="AF353" s="6"/>
      <c r="AH353" s="7"/>
      <c r="AI353"/>
      <c r="AJ353"/>
    </row>
    <row r="354" spans="1:36" ht="15" thickBot="1" x14ac:dyDescent="0.4">
      <c r="A354" s="19">
        <v>2</v>
      </c>
      <c r="B354" s="20">
        <v>304901</v>
      </c>
      <c r="C354" s="21" t="s">
        <v>171</v>
      </c>
      <c r="D354" s="20" t="s">
        <v>23</v>
      </c>
      <c r="E354" s="20">
        <v>204</v>
      </c>
      <c r="F354" s="23">
        <v>204</v>
      </c>
      <c r="G354" s="20">
        <v>25344</v>
      </c>
      <c r="H354" s="24">
        <f t="shared" si="39"/>
        <v>8.049242424242424E-3</v>
      </c>
      <c r="K354" s="4"/>
      <c r="L354" s="5"/>
      <c r="N354" s="4"/>
      <c r="AA354"/>
      <c r="AB354" s="6"/>
      <c r="AC354" s="6"/>
      <c r="AD354" s="7"/>
      <c r="AF354" s="6"/>
      <c r="AH354" s="7"/>
      <c r="AI354"/>
      <c r="AJ354"/>
    </row>
    <row r="355" spans="1:36" ht="15" thickBot="1" x14ac:dyDescent="0.4">
      <c r="A355" s="19">
        <v>3</v>
      </c>
      <c r="B355" s="20">
        <v>304902</v>
      </c>
      <c r="C355" s="21" t="s">
        <v>172</v>
      </c>
      <c r="D355" s="20" t="s">
        <v>23</v>
      </c>
      <c r="E355" s="20">
        <v>252</v>
      </c>
      <c r="F355" s="23">
        <v>252</v>
      </c>
      <c r="G355" s="20">
        <v>17538</v>
      </c>
      <c r="H355" s="24">
        <f t="shared" si="39"/>
        <v>1.4368799178925761E-2</v>
      </c>
      <c r="K355" s="4"/>
      <c r="L355" s="5"/>
      <c r="N355" s="4"/>
      <c r="AA355"/>
      <c r="AB355" s="6"/>
      <c r="AC355" s="6"/>
      <c r="AD355" s="7"/>
      <c r="AF355" s="6"/>
      <c r="AH355" s="7"/>
      <c r="AI355"/>
      <c r="AJ355"/>
    </row>
    <row r="356" spans="1:36" ht="15" thickBot="1" x14ac:dyDescent="0.4">
      <c r="A356" s="38"/>
      <c r="B356" s="39" t="s">
        <v>17</v>
      </c>
      <c r="C356" s="30" t="s">
        <v>18</v>
      </c>
      <c r="D356" s="21"/>
      <c r="E356" s="21"/>
      <c r="F356" s="31"/>
      <c r="G356" s="21"/>
      <c r="H356" s="21"/>
      <c r="K356" s="4"/>
      <c r="L356" s="5"/>
      <c r="N356" s="4"/>
      <c r="AA356"/>
      <c r="AB356" s="6"/>
      <c r="AC356" s="6"/>
      <c r="AD356" s="7"/>
      <c r="AF356" s="6"/>
      <c r="AH356" s="7"/>
      <c r="AI356"/>
      <c r="AJ356"/>
    </row>
    <row r="357" spans="1:36" ht="15" thickBot="1" x14ac:dyDescent="0.4">
      <c r="A357" s="38"/>
      <c r="B357" s="39" t="s">
        <v>17</v>
      </c>
      <c r="C357" s="30" t="s">
        <v>163</v>
      </c>
      <c r="D357" s="21"/>
      <c r="E357" s="21"/>
      <c r="F357" s="31"/>
      <c r="G357" s="21"/>
      <c r="H357" s="21"/>
      <c r="K357" s="4"/>
      <c r="L357" s="5"/>
      <c r="N357" s="4"/>
      <c r="AA357"/>
      <c r="AB357" s="6"/>
      <c r="AC357" s="6"/>
      <c r="AD357" s="7"/>
      <c r="AF357" s="6"/>
      <c r="AH357" s="7"/>
      <c r="AI357"/>
      <c r="AJ357"/>
    </row>
    <row r="358" spans="1:36" ht="15" thickBot="1" x14ac:dyDescent="0.4">
      <c r="A358" s="54"/>
      <c r="B358" s="29" t="s">
        <v>17</v>
      </c>
      <c r="C358" s="33" t="s">
        <v>169</v>
      </c>
      <c r="D358" s="34"/>
      <c r="E358" s="34"/>
      <c r="F358" s="15"/>
      <c r="G358" s="34"/>
      <c r="H358" s="34"/>
      <c r="K358" s="4"/>
      <c r="L358" s="5"/>
      <c r="N358" s="4"/>
      <c r="AA358"/>
      <c r="AB358" s="6"/>
      <c r="AC358" s="6"/>
      <c r="AD358" s="7"/>
      <c r="AF358" s="6"/>
      <c r="AH358" s="7"/>
      <c r="AI358"/>
      <c r="AJ358"/>
    </row>
    <row r="359" spans="1:36" ht="15" thickBot="1" x14ac:dyDescent="0.4">
      <c r="A359" s="35"/>
      <c r="B359" s="35"/>
      <c r="C359" s="43"/>
      <c r="D359" s="35"/>
      <c r="E359" s="35"/>
      <c r="F359" s="44">
        <f>SUM(F353:F358)</f>
        <v>2568</v>
      </c>
      <c r="G359" s="35"/>
      <c r="H359" s="45">
        <f>SUM(H353:H358)</f>
        <v>6.2057681242807819E-2</v>
      </c>
      <c r="K359" s="4"/>
      <c r="L359" s="5"/>
      <c r="N359" s="4"/>
      <c r="AA359"/>
      <c r="AB359" s="6"/>
      <c r="AC359" s="6"/>
      <c r="AD359" s="7"/>
      <c r="AF359" s="6"/>
      <c r="AH359" s="7"/>
      <c r="AI359"/>
      <c r="AJ359"/>
    </row>
    <row r="360" spans="1:36" ht="15" thickBot="1" x14ac:dyDescent="0.4">
      <c r="A360" s="77" t="s">
        <v>0</v>
      </c>
      <c r="B360" s="78"/>
      <c r="C360" s="79">
        <v>46212</v>
      </c>
      <c r="D360" s="80"/>
      <c r="E360" s="81" t="s">
        <v>1</v>
      </c>
      <c r="F360" s="82"/>
      <c r="G360" s="41" t="s">
        <v>164</v>
      </c>
      <c r="H360" s="2"/>
      <c r="I360" s="3"/>
      <c r="L360" s="4"/>
      <c r="M360" s="5"/>
      <c r="N360" s="4"/>
      <c r="AB360"/>
      <c r="AC360" s="6"/>
      <c r="AE360" s="7"/>
      <c r="AF360" s="6"/>
      <c r="AI360" s="7"/>
      <c r="AJ360"/>
    </row>
    <row r="361" spans="1:36" ht="15" thickBot="1" x14ac:dyDescent="0.4">
      <c r="A361" s="83" t="s">
        <v>3</v>
      </c>
      <c r="B361" s="84"/>
      <c r="C361" s="8" t="s">
        <v>173</v>
      </c>
      <c r="D361" s="9"/>
      <c r="E361" s="85" t="s">
        <v>5</v>
      </c>
      <c r="F361" s="86"/>
      <c r="G361" s="42" t="s">
        <v>166</v>
      </c>
      <c r="H361" s="11"/>
      <c r="I361" s="12"/>
      <c r="L361" s="4"/>
      <c r="M361" s="5"/>
      <c r="N361" s="4"/>
      <c r="AB361"/>
      <c r="AC361" s="6"/>
      <c r="AE361" s="7"/>
      <c r="AF361" s="6"/>
      <c r="AI361" s="7"/>
      <c r="AJ361"/>
    </row>
    <row r="362" spans="1:36" ht="15" thickBot="1" x14ac:dyDescent="0.4">
      <c r="A362" s="13"/>
      <c r="B362" s="14" t="s">
        <v>6</v>
      </c>
      <c r="C362" s="15"/>
      <c r="D362" s="14" t="s">
        <v>7</v>
      </c>
      <c r="E362" s="16" t="s">
        <v>8</v>
      </c>
      <c r="F362" s="17" t="s">
        <v>9</v>
      </c>
      <c r="G362" s="18" t="s">
        <v>10</v>
      </c>
      <c r="H362" s="14" t="s">
        <v>11</v>
      </c>
      <c r="K362" s="4"/>
      <c r="L362" s="5"/>
      <c r="N362" s="4"/>
      <c r="AA362"/>
      <c r="AB362" s="6"/>
      <c r="AC362" s="6"/>
      <c r="AD362" s="7"/>
      <c r="AF362" s="6"/>
      <c r="AH362" s="7"/>
      <c r="AI362"/>
      <c r="AJ362"/>
    </row>
    <row r="363" spans="1:36" ht="15" thickBot="1" x14ac:dyDescent="0.4">
      <c r="A363" s="19">
        <v>1</v>
      </c>
      <c r="B363" s="20">
        <v>305650</v>
      </c>
      <c r="C363" s="21" t="s">
        <v>105</v>
      </c>
      <c r="D363" s="20" t="s">
        <v>23</v>
      </c>
      <c r="E363" s="20">
        <v>816</v>
      </c>
      <c r="F363" s="23">
        <v>816</v>
      </c>
      <c r="G363" s="20">
        <v>1800</v>
      </c>
      <c r="H363" s="24">
        <f t="shared" ref="H363:H364" si="40">F363/G363</f>
        <v>0.45333333333333331</v>
      </c>
      <c r="K363" s="4"/>
      <c r="L363" s="5"/>
      <c r="N363" s="4"/>
      <c r="AA363"/>
      <c r="AB363" s="6"/>
      <c r="AC363" s="6"/>
      <c r="AD363" s="7"/>
      <c r="AF363" s="6"/>
      <c r="AH363" s="7"/>
      <c r="AI363"/>
      <c r="AJ363"/>
    </row>
    <row r="364" spans="1:36" ht="15" thickBot="1" x14ac:dyDescent="0.4">
      <c r="A364" s="19">
        <v>2</v>
      </c>
      <c r="B364" s="20">
        <v>305644</v>
      </c>
      <c r="C364" s="21" t="s">
        <v>174</v>
      </c>
      <c r="D364" s="20" t="s">
        <v>23</v>
      </c>
      <c r="E364" s="20">
        <v>166</v>
      </c>
      <c r="F364" s="23">
        <v>166</v>
      </c>
      <c r="G364" s="20">
        <v>588</v>
      </c>
      <c r="H364" s="24">
        <f t="shared" si="40"/>
        <v>0.28231292517006801</v>
      </c>
      <c r="K364" s="4"/>
      <c r="L364" s="5"/>
      <c r="N364" s="4"/>
      <c r="AA364"/>
      <c r="AB364" s="6"/>
      <c r="AC364" s="6"/>
      <c r="AD364" s="7"/>
      <c r="AF364" s="6"/>
      <c r="AH364" s="7"/>
      <c r="AI364"/>
      <c r="AJ364"/>
    </row>
    <row r="365" spans="1:36" ht="15" thickBot="1" x14ac:dyDescent="0.4">
      <c r="A365" s="38"/>
      <c r="B365" s="39" t="s">
        <v>17</v>
      </c>
      <c r="C365" s="30" t="s">
        <v>18</v>
      </c>
      <c r="D365" s="21"/>
      <c r="E365" s="21"/>
      <c r="F365" s="31"/>
      <c r="G365" s="21"/>
      <c r="H365" s="21"/>
      <c r="K365" s="4"/>
      <c r="L365" s="5"/>
      <c r="N365" s="4"/>
      <c r="AA365"/>
      <c r="AB365" s="6"/>
      <c r="AC365" s="6"/>
      <c r="AD365" s="7"/>
      <c r="AF365" s="6"/>
      <c r="AH365" s="7"/>
      <c r="AI365"/>
      <c r="AJ365"/>
    </row>
    <row r="366" spans="1:36" ht="15" thickBot="1" x14ac:dyDescent="0.4">
      <c r="A366" s="54"/>
      <c r="B366" s="29" t="s">
        <v>17</v>
      </c>
      <c r="C366" s="33" t="s">
        <v>169</v>
      </c>
      <c r="D366" s="34"/>
      <c r="E366" s="34"/>
      <c r="F366" s="15"/>
      <c r="G366" s="34"/>
      <c r="H366" s="34"/>
      <c r="K366" s="4"/>
      <c r="L366" s="5"/>
      <c r="N366" s="4"/>
      <c r="AA366"/>
      <c r="AB366" s="6"/>
      <c r="AC366" s="6"/>
      <c r="AD366" s="7"/>
      <c r="AF366" s="6"/>
      <c r="AH366" s="7"/>
      <c r="AI366"/>
      <c r="AJ366"/>
    </row>
    <row r="367" spans="1:36" ht="15" thickBot="1" x14ac:dyDescent="0.4">
      <c r="A367" s="35"/>
      <c r="B367" s="35"/>
      <c r="C367" s="43"/>
      <c r="D367" s="35"/>
      <c r="E367" s="35"/>
      <c r="F367" s="44">
        <f>SUM(F363:F366)</f>
        <v>982</v>
      </c>
      <c r="G367" s="35"/>
      <c r="H367" s="45">
        <f>SUM(H363:H366)</f>
        <v>0.73564625850340137</v>
      </c>
      <c r="K367" s="4"/>
      <c r="L367" s="5"/>
      <c r="N367" s="4"/>
      <c r="AA367"/>
      <c r="AB367" s="6"/>
      <c r="AC367" s="6"/>
      <c r="AD367" s="7"/>
      <c r="AF367" s="6"/>
      <c r="AH367" s="7"/>
      <c r="AI367"/>
      <c r="AJ367"/>
    </row>
    <row r="368" spans="1:36" ht="15" thickBot="1" x14ac:dyDescent="0.4">
      <c r="A368" s="77" t="s">
        <v>0</v>
      </c>
      <c r="B368" s="78"/>
      <c r="C368" s="79">
        <v>46212</v>
      </c>
      <c r="D368" s="80"/>
      <c r="E368" s="81" t="s">
        <v>1</v>
      </c>
      <c r="F368" s="82"/>
      <c r="G368" s="41" t="s">
        <v>164</v>
      </c>
      <c r="H368" s="2"/>
      <c r="I368" s="3"/>
      <c r="L368" s="4"/>
      <c r="M368" s="5"/>
      <c r="N368" s="4"/>
      <c r="AB368"/>
      <c r="AC368" s="6"/>
      <c r="AE368" s="7"/>
      <c r="AF368" s="6"/>
      <c r="AI368" s="7"/>
      <c r="AJ368"/>
    </row>
    <row r="369" spans="1:36" ht="15" thickBot="1" x14ac:dyDescent="0.4">
      <c r="A369" s="83" t="s">
        <v>3</v>
      </c>
      <c r="B369" s="84"/>
      <c r="C369" s="8" t="s">
        <v>175</v>
      </c>
      <c r="D369" s="9"/>
      <c r="E369" s="85" t="s">
        <v>5</v>
      </c>
      <c r="F369" s="86"/>
      <c r="G369" s="42" t="s">
        <v>166</v>
      </c>
      <c r="H369" s="11"/>
      <c r="I369" s="12"/>
      <c r="L369" s="4"/>
      <c r="M369" s="5"/>
      <c r="N369" s="4"/>
      <c r="AB369"/>
      <c r="AC369" s="6"/>
      <c r="AE369" s="7"/>
      <c r="AF369" s="6"/>
      <c r="AI369" s="7"/>
      <c r="AJ369"/>
    </row>
    <row r="370" spans="1:36" ht="15" thickBot="1" x14ac:dyDescent="0.4">
      <c r="A370" s="13"/>
      <c r="B370" s="14" t="s">
        <v>6</v>
      </c>
      <c r="C370" s="15"/>
      <c r="D370" s="14" t="s">
        <v>7</v>
      </c>
      <c r="E370" s="16" t="s">
        <v>8</v>
      </c>
      <c r="F370" s="17" t="s">
        <v>9</v>
      </c>
      <c r="G370" s="18" t="s">
        <v>10</v>
      </c>
      <c r="H370" s="14" t="s">
        <v>11</v>
      </c>
      <c r="K370" s="4"/>
      <c r="L370" s="5"/>
      <c r="N370" s="4"/>
      <c r="AA370"/>
      <c r="AB370" s="6"/>
      <c r="AC370" s="6"/>
      <c r="AD370" s="7"/>
      <c r="AF370" s="6"/>
      <c r="AH370" s="7"/>
      <c r="AI370"/>
      <c r="AJ370"/>
    </row>
    <row r="371" spans="1:36" ht="15" thickBot="1" x14ac:dyDescent="0.4">
      <c r="A371" s="19">
        <v>1</v>
      </c>
      <c r="B371" s="20">
        <v>300940</v>
      </c>
      <c r="C371" s="21" t="s">
        <v>29</v>
      </c>
      <c r="D371" s="20" t="s">
        <v>23</v>
      </c>
      <c r="E371" s="20">
        <v>660</v>
      </c>
      <c r="F371" s="23">
        <v>660</v>
      </c>
      <c r="G371" s="20">
        <v>19236</v>
      </c>
      <c r="H371" s="24">
        <f t="shared" ref="H371:H374" si="41">F371/G371</f>
        <v>3.4310667498440424E-2</v>
      </c>
      <c r="K371" s="4"/>
      <c r="L371" s="5"/>
      <c r="N371" s="4"/>
      <c r="AA371"/>
      <c r="AB371" s="6"/>
      <c r="AC371" s="6"/>
      <c r="AD371" s="7"/>
      <c r="AF371" s="6"/>
      <c r="AH371" s="7"/>
      <c r="AI371"/>
      <c r="AJ371"/>
    </row>
    <row r="372" spans="1:36" ht="15" thickBot="1" x14ac:dyDescent="0.4">
      <c r="A372" s="38"/>
      <c r="B372" s="20">
        <v>301107</v>
      </c>
      <c r="C372" s="21" t="s">
        <v>30</v>
      </c>
      <c r="D372" s="20" t="s">
        <v>23</v>
      </c>
      <c r="E372" s="20">
        <v>680</v>
      </c>
      <c r="F372" s="23">
        <v>680</v>
      </c>
      <c r="G372" s="20">
        <v>11088</v>
      </c>
      <c r="H372" s="24">
        <f t="shared" si="41"/>
        <v>6.1327561327561328E-2</v>
      </c>
      <c r="K372" s="4"/>
      <c r="L372" s="5"/>
      <c r="N372" s="4"/>
      <c r="AA372"/>
      <c r="AB372" s="6"/>
      <c r="AC372" s="6"/>
      <c r="AD372" s="7"/>
      <c r="AF372" s="6"/>
      <c r="AH372" s="7"/>
      <c r="AI372"/>
      <c r="AJ372"/>
    </row>
    <row r="373" spans="1:36" ht="15" thickBot="1" x14ac:dyDescent="0.4">
      <c r="A373" s="38"/>
      <c r="B373" s="20">
        <v>301108</v>
      </c>
      <c r="C373" s="21" t="s">
        <v>31</v>
      </c>
      <c r="D373" s="20" t="s">
        <v>23</v>
      </c>
      <c r="E373" s="20">
        <v>440</v>
      </c>
      <c r="F373" s="23">
        <v>440</v>
      </c>
      <c r="G373" s="20">
        <v>6528</v>
      </c>
      <c r="H373" s="24">
        <f t="shared" si="41"/>
        <v>6.7401960784313722E-2</v>
      </c>
      <c r="K373" s="4"/>
      <c r="L373" s="5"/>
      <c r="N373" s="4"/>
      <c r="AA373"/>
      <c r="AB373" s="6"/>
      <c r="AC373" s="6"/>
      <c r="AD373" s="7"/>
      <c r="AF373" s="6"/>
      <c r="AH373" s="7"/>
      <c r="AI373"/>
      <c r="AJ373"/>
    </row>
    <row r="374" spans="1:36" ht="15" thickBot="1" x14ac:dyDescent="0.4">
      <c r="A374" s="19">
        <v>2</v>
      </c>
      <c r="B374" s="20">
        <v>800659</v>
      </c>
      <c r="C374" s="21" t="s">
        <v>104</v>
      </c>
      <c r="D374" s="20" t="s">
        <v>23</v>
      </c>
      <c r="E374" s="20">
        <v>224</v>
      </c>
      <c r="F374" s="23">
        <v>224</v>
      </c>
      <c r="G374" s="20">
        <v>3366</v>
      </c>
      <c r="H374" s="24">
        <f t="shared" si="41"/>
        <v>6.6547831253713607E-2</v>
      </c>
      <c r="K374" s="4"/>
      <c r="L374" s="5"/>
      <c r="N374" s="4"/>
      <c r="AA374"/>
      <c r="AB374" s="6"/>
      <c r="AC374" s="6"/>
      <c r="AD374" s="7"/>
      <c r="AF374" s="6"/>
      <c r="AH374" s="7"/>
      <c r="AI374"/>
      <c r="AJ374"/>
    </row>
    <row r="375" spans="1:36" ht="15" thickBot="1" x14ac:dyDescent="0.4">
      <c r="A375" s="38"/>
      <c r="B375" s="39" t="s">
        <v>17</v>
      </c>
      <c r="C375" s="30" t="s">
        <v>18</v>
      </c>
      <c r="D375" s="21"/>
      <c r="E375" s="21"/>
      <c r="F375" s="31"/>
      <c r="G375" s="21"/>
      <c r="H375" s="21"/>
      <c r="K375" s="4"/>
      <c r="L375" s="5"/>
      <c r="N375" s="4"/>
      <c r="AA375"/>
      <c r="AB375" s="6"/>
      <c r="AC375" s="6"/>
      <c r="AD375" s="7"/>
      <c r="AF375" s="6"/>
      <c r="AH375" s="7"/>
      <c r="AI375"/>
      <c r="AJ375"/>
    </row>
    <row r="376" spans="1:36" ht="15" thickBot="1" x14ac:dyDescent="0.4">
      <c r="A376" s="54"/>
      <c r="B376" s="29" t="s">
        <v>17</v>
      </c>
      <c r="C376" s="33" t="s">
        <v>169</v>
      </c>
      <c r="D376" s="34"/>
      <c r="E376" s="34"/>
      <c r="F376" s="15"/>
      <c r="G376" s="34"/>
      <c r="H376" s="34"/>
      <c r="K376" s="4"/>
      <c r="L376" s="5"/>
      <c r="N376" s="4"/>
      <c r="AA376"/>
      <c r="AB376" s="6"/>
      <c r="AC376" s="6"/>
      <c r="AD376" s="7"/>
      <c r="AF376" s="6"/>
      <c r="AH376" s="7"/>
      <c r="AI376"/>
      <c r="AJ376"/>
    </row>
    <row r="377" spans="1:36" ht="15" thickBot="1" x14ac:dyDescent="0.4">
      <c r="A377" s="35"/>
      <c r="B377" s="35"/>
      <c r="C377" s="43"/>
      <c r="D377" s="35"/>
      <c r="E377" s="35"/>
      <c r="F377" s="44">
        <f>SUM(F371:F376)</f>
        <v>2004</v>
      </c>
      <c r="G377" s="35"/>
      <c r="H377" s="45">
        <f>SUM(H371:H376)</f>
        <v>0.22958802086402907</v>
      </c>
      <c r="K377" s="4"/>
      <c r="L377" s="5"/>
      <c r="N377" s="4"/>
      <c r="AA377"/>
      <c r="AB377" s="6"/>
      <c r="AC377" s="6"/>
      <c r="AD377" s="7"/>
      <c r="AF377" s="6"/>
      <c r="AH377" s="7"/>
      <c r="AI377"/>
      <c r="AJ377"/>
    </row>
    <row r="378" spans="1:36" ht="15" thickBot="1" x14ac:dyDescent="0.4">
      <c r="A378" s="77" t="s">
        <v>0</v>
      </c>
      <c r="B378" s="78"/>
      <c r="C378" s="79">
        <v>46209</v>
      </c>
      <c r="D378" s="80"/>
      <c r="E378" s="81" t="s">
        <v>1</v>
      </c>
      <c r="F378" s="82"/>
      <c r="G378" s="41" t="s">
        <v>176</v>
      </c>
      <c r="H378" s="2"/>
      <c r="I378" s="3"/>
      <c r="J378" s="3"/>
    </row>
    <row r="379" spans="1:36" ht="15" thickBot="1" x14ac:dyDescent="0.4">
      <c r="A379" s="83" t="s">
        <v>3</v>
      </c>
      <c r="B379" s="84"/>
      <c r="C379" s="8" t="s">
        <v>177</v>
      </c>
      <c r="D379" s="9"/>
      <c r="E379" s="85" t="s">
        <v>5</v>
      </c>
      <c r="F379" s="86"/>
      <c r="G379" s="10">
        <v>113156</v>
      </c>
      <c r="H379" s="11"/>
      <c r="I379" s="12"/>
      <c r="J379" s="12"/>
    </row>
    <row r="380" spans="1:36" ht="15" thickBot="1" x14ac:dyDescent="0.4">
      <c r="A380" s="13"/>
      <c r="B380" s="14" t="s">
        <v>6</v>
      </c>
      <c r="C380" s="15"/>
      <c r="D380" s="14" t="s">
        <v>7</v>
      </c>
      <c r="E380" s="16" t="s">
        <v>8</v>
      </c>
      <c r="F380" s="17" t="s">
        <v>9</v>
      </c>
      <c r="G380" s="18" t="s">
        <v>10</v>
      </c>
      <c r="H380" s="62" t="s">
        <v>11</v>
      </c>
      <c r="I380" s="12"/>
      <c r="L380" s="4"/>
      <c r="M380" s="5"/>
      <c r="N380" s="4"/>
      <c r="AB380"/>
      <c r="AC380" s="6"/>
      <c r="AE380" s="7"/>
      <c r="AF380" s="6"/>
      <c r="AI380" s="7"/>
      <c r="AJ380"/>
    </row>
    <row r="381" spans="1:36" ht="15" thickBot="1" x14ac:dyDescent="0.4">
      <c r="A381" s="19">
        <v>1</v>
      </c>
      <c r="B381" s="20">
        <v>306747</v>
      </c>
      <c r="C381" s="21" t="s">
        <v>178</v>
      </c>
      <c r="D381" s="20" t="s">
        <v>23</v>
      </c>
      <c r="E381" s="20">
        <v>10</v>
      </c>
      <c r="F381" s="23">
        <v>10</v>
      </c>
      <c r="G381" s="20">
        <v>222</v>
      </c>
      <c r="H381" s="24">
        <f t="shared" ref="H381" si="42">F381/G381</f>
        <v>4.5045045045045043E-2</v>
      </c>
      <c r="I381" s="12"/>
      <c r="L381" s="4"/>
      <c r="M381" s="5"/>
      <c r="N381" s="4"/>
      <c r="AB381"/>
      <c r="AC381" s="6"/>
      <c r="AE381" s="7"/>
      <c r="AF381" s="6"/>
      <c r="AI381" s="7"/>
      <c r="AJ381"/>
    </row>
    <row r="382" spans="1:36" ht="15" thickBot="1" x14ac:dyDescent="0.4">
      <c r="A382" s="38"/>
      <c r="B382" s="39" t="s">
        <v>17</v>
      </c>
      <c r="C382" s="30" t="s">
        <v>18</v>
      </c>
      <c r="D382" s="21"/>
      <c r="E382" s="21"/>
      <c r="F382" s="31"/>
      <c r="G382" s="21"/>
      <c r="H382" s="21"/>
      <c r="I382" s="63"/>
      <c r="L382" s="4"/>
      <c r="M382" s="5"/>
      <c r="N382" s="4"/>
      <c r="AB382"/>
      <c r="AC382" s="6"/>
      <c r="AE382" s="7"/>
      <c r="AF382" s="6"/>
      <c r="AI382" s="7"/>
      <c r="AJ382"/>
    </row>
    <row r="383" spans="1:36" ht="15" thickBot="1" x14ac:dyDescent="0.4">
      <c r="A383" s="54"/>
      <c r="B383" s="29" t="s">
        <v>17</v>
      </c>
      <c r="C383" s="33" t="s">
        <v>19</v>
      </c>
      <c r="D383" s="34"/>
      <c r="E383" s="34"/>
      <c r="F383" s="15"/>
      <c r="G383" s="34"/>
      <c r="H383" s="34"/>
      <c r="I383" s="47"/>
      <c r="L383" s="4"/>
      <c r="M383" s="5"/>
      <c r="N383" s="4"/>
      <c r="AB383"/>
      <c r="AC383" s="6"/>
      <c r="AE383" s="7"/>
      <c r="AF383" s="6"/>
      <c r="AI383" s="7"/>
      <c r="AJ383"/>
    </row>
    <row r="384" spans="1:36" ht="15" thickBot="1" x14ac:dyDescent="0.4">
      <c r="A384" s="35"/>
      <c r="B384" s="35"/>
      <c r="C384" s="43"/>
      <c r="D384" s="35"/>
      <c r="E384" s="35"/>
      <c r="F384" s="44">
        <v>10</v>
      </c>
      <c r="G384" s="35"/>
      <c r="H384" s="45">
        <f>SUM(H381:H383)</f>
        <v>4.5045045045045043E-2</v>
      </c>
      <c r="I384" s="35"/>
      <c r="L384" s="4"/>
      <c r="M384" s="5"/>
      <c r="N384" s="4"/>
      <c r="AB384"/>
      <c r="AC384" s="6"/>
      <c r="AE384" s="7"/>
      <c r="AF384" s="6"/>
      <c r="AI384" s="7"/>
      <c r="AJ384"/>
    </row>
    <row r="385" spans="1:36" ht="15" thickBot="1" x14ac:dyDescent="0.4">
      <c r="A385" s="77" t="s">
        <v>0</v>
      </c>
      <c r="B385" s="78"/>
      <c r="C385" s="79">
        <v>46209</v>
      </c>
      <c r="D385" s="80"/>
      <c r="E385" s="81" t="s">
        <v>1</v>
      </c>
      <c r="F385" s="82"/>
      <c r="G385" s="41" t="s">
        <v>58</v>
      </c>
      <c r="H385" s="2"/>
      <c r="I385" s="3"/>
      <c r="J385" s="3"/>
    </row>
    <row r="386" spans="1:36" ht="15" thickBot="1" x14ac:dyDescent="0.4">
      <c r="A386" s="83" t="s">
        <v>3</v>
      </c>
      <c r="B386" s="84"/>
      <c r="C386" s="8" t="s">
        <v>181</v>
      </c>
      <c r="D386" s="9"/>
      <c r="E386" s="85" t="s">
        <v>5</v>
      </c>
      <c r="F386" s="86"/>
      <c r="G386" s="10">
        <v>113164</v>
      </c>
      <c r="H386" s="11"/>
      <c r="I386" s="12"/>
      <c r="J386" s="12"/>
    </row>
    <row r="387" spans="1:36" ht="15" thickBot="1" x14ac:dyDescent="0.4">
      <c r="A387" s="13"/>
      <c r="B387" s="14" t="s">
        <v>6</v>
      </c>
      <c r="C387" s="15"/>
      <c r="D387" s="14" t="s">
        <v>7</v>
      </c>
      <c r="E387" s="16" t="s">
        <v>8</v>
      </c>
      <c r="F387" s="17" t="s">
        <v>9</v>
      </c>
      <c r="G387" s="18" t="s">
        <v>10</v>
      </c>
      <c r="H387" s="62" t="s">
        <v>11</v>
      </c>
      <c r="I387" s="12"/>
      <c r="L387" s="4"/>
      <c r="M387" s="5"/>
      <c r="N387" s="4"/>
      <c r="AB387"/>
      <c r="AC387" s="6"/>
      <c r="AE387" s="7"/>
      <c r="AF387" s="6"/>
      <c r="AI387" s="7"/>
      <c r="AJ387"/>
    </row>
    <row r="388" spans="1:36" ht="15" thickBot="1" x14ac:dyDescent="0.4">
      <c r="A388" s="19">
        <v>1</v>
      </c>
      <c r="B388" s="20">
        <v>306343</v>
      </c>
      <c r="C388" s="21" t="s">
        <v>182</v>
      </c>
      <c r="D388" s="20" t="s">
        <v>28</v>
      </c>
      <c r="E388" s="20">
        <v>150</v>
      </c>
      <c r="F388" s="23">
        <v>150</v>
      </c>
      <c r="G388" s="20">
        <v>3700</v>
      </c>
      <c r="H388" s="24">
        <f t="shared" ref="H388:H401" si="43">F388/G388</f>
        <v>4.0540540540540543E-2</v>
      </c>
      <c r="I388" s="12"/>
      <c r="L388" s="4"/>
      <c r="M388" s="5"/>
      <c r="N388" s="4"/>
      <c r="AB388"/>
      <c r="AC388" s="6"/>
      <c r="AE388" s="7"/>
      <c r="AF388" s="6"/>
      <c r="AI388" s="7"/>
      <c r="AJ388"/>
    </row>
    <row r="389" spans="1:36" ht="15" thickBot="1" x14ac:dyDescent="0.4">
      <c r="A389" s="19">
        <v>2</v>
      </c>
      <c r="B389" s="20">
        <v>306398</v>
      </c>
      <c r="C389" s="21" t="s">
        <v>38</v>
      </c>
      <c r="D389" s="20" t="s">
        <v>28</v>
      </c>
      <c r="E389" s="20">
        <v>1500</v>
      </c>
      <c r="F389" s="23">
        <v>1500</v>
      </c>
      <c r="G389" s="20">
        <v>6720</v>
      </c>
      <c r="H389" s="24">
        <f t="shared" si="43"/>
        <v>0.22321428571428573</v>
      </c>
      <c r="I389" s="63"/>
      <c r="L389" s="4"/>
      <c r="M389" s="5"/>
      <c r="N389" s="4"/>
      <c r="AB389"/>
      <c r="AC389" s="6"/>
      <c r="AE389" s="7"/>
      <c r="AF389" s="6"/>
      <c r="AI389" s="7"/>
      <c r="AJ389"/>
    </row>
    <row r="390" spans="1:36" ht="15" thickBot="1" x14ac:dyDescent="0.4">
      <c r="A390" s="19">
        <v>3</v>
      </c>
      <c r="B390" s="20">
        <v>306399</v>
      </c>
      <c r="C390" s="21" t="s">
        <v>39</v>
      </c>
      <c r="D390" s="20" t="s">
        <v>28</v>
      </c>
      <c r="E390" s="20">
        <v>1000</v>
      </c>
      <c r="F390" s="23">
        <v>1000</v>
      </c>
      <c r="G390" s="20">
        <v>3192</v>
      </c>
      <c r="H390" s="24">
        <f t="shared" si="43"/>
        <v>0.31328320802005011</v>
      </c>
      <c r="I390" s="47"/>
      <c r="L390" s="4"/>
      <c r="M390" s="5"/>
      <c r="N390" s="4"/>
      <c r="AB390"/>
      <c r="AC390" s="6"/>
      <c r="AE390" s="7"/>
      <c r="AF390" s="6"/>
      <c r="AI390" s="7"/>
      <c r="AJ390"/>
    </row>
    <row r="391" spans="1:36" ht="15" thickBot="1" x14ac:dyDescent="0.4">
      <c r="A391" s="19">
        <v>4</v>
      </c>
      <c r="B391" s="20">
        <v>306400</v>
      </c>
      <c r="C391" s="21" t="s">
        <v>40</v>
      </c>
      <c r="D391" s="20" t="s">
        <v>28</v>
      </c>
      <c r="E391" s="20">
        <v>500</v>
      </c>
      <c r="F391" s="23">
        <v>500</v>
      </c>
      <c r="G391" s="20">
        <v>880</v>
      </c>
      <c r="H391" s="24">
        <f t="shared" si="43"/>
        <v>0.56818181818181823</v>
      </c>
      <c r="I391" s="47"/>
      <c r="L391" s="4"/>
      <c r="M391" s="5"/>
      <c r="N391" s="4"/>
      <c r="AB391"/>
      <c r="AC391" s="6"/>
      <c r="AE391" s="7"/>
      <c r="AF391" s="6"/>
      <c r="AI391" s="7"/>
      <c r="AJ391"/>
    </row>
    <row r="392" spans="1:36" ht="15" thickBot="1" x14ac:dyDescent="0.4">
      <c r="A392" s="19">
        <v>5</v>
      </c>
      <c r="B392" s="20">
        <v>306403</v>
      </c>
      <c r="C392" s="21" t="s">
        <v>69</v>
      </c>
      <c r="D392" s="20" t="s">
        <v>28</v>
      </c>
      <c r="E392" s="20">
        <v>500</v>
      </c>
      <c r="F392" s="23">
        <v>500</v>
      </c>
      <c r="G392" s="20">
        <v>2688</v>
      </c>
      <c r="H392" s="24">
        <f t="shared" si="43"/>
        <v>0.18601190476190477</v>
      </c>
      <c r="I392" s="47"/>
      <c r="L392" s="4"/>
      <c r="M392" s="5"/>
      <c r="N392" s="4"/>
      <c r="AB392"/>
      <c r="AC392" s="6"/>
      <c r="AE392" s="7"/>
      <c r="AF392" s="6"/>
      <c r="AI392" s="7"/>
      <c r="AJ392"/>
    </row>
    <row r="393" spans="1:36" ht="15" thickBot="1" x14ac:dyDescent="0.4">
      <c r="A393" s="19">
        <v>6</v>
      </c>
      <c r="B393" s="20">
        <v>306404</v>
      </c>
      <c r="C393" s="21" t="s">
        <v>75</v>
      </c>
      <c r="D393" s="20" t="s">
        <v>28</v>
      </c>
      <c r="E393" s="20">
        <v>500</v>
      </c>
      <c r="F393" s="23">
        <v>500</v>
      </c>
      <c r="G393" s="20">
        <v>1584</v>
      </c>
      <c r="H393" s="24">
        <f t="shared" si="43"/>
        <v>0.31565656565656564</v>
      </c>
      <c r="I393" s="47"/>
      <c r="L393" s="4"/>
      <c r="M393" s="5"/>
      <c r="N393" s="4"/>
      <c r="AB393"/>
      <c r="AC393" s="6"/>
      <c r="AE393" s="7"/>
      <c r="AF393" s="6"/>
      <c r="AI393" s="7"/>
      <c r="AJ393"/>
    </row>
    <row r="394" spans="1:36" ht="15" thickBot="1" x14ac:dyDescent="0.4">
      <c r="A394" s="19">
        <v>7</v>
      </c>
      <c r="B394" s="20">
        <v>300351</v>
      </c>
      <c r="C394" s="21" t="s">
        <v>77</v>
      </c>
      <c r="D394" s="20" t="s">
        <v>28</v>
      </c>
      <c r="E394" s="20">
        <v>50</v>
      </c>
      <c r="F394" s="23">
        <v>50</v>
      </c>
      <c r="G394" s="20">
        <v>1904</v>
      </c>
      <c r="H394" s="24">
        <f t="shared" si="43"/>
        <v>2.6260504201680673E-2</v>
      </c>
      <c r="I394" s="47"/>
      <c r="L394" s="4"/>
      <c r="M394" s="5"/>
      <c r="N394" s="4"/>
      <c r="AB394"/>
      <c r="AC394" s="6"/>
      <c r="AE394" s="7"/>
      <c r="AF394" s="6"/>
      <c r="AI394" s="7"/>
      <c r="AJ394"/>
    </row>
    <row r="395" spans="1:36" ht="15" thickBot="1" x14ac:dyDescent="0.4">
      <c r="A395" s="19">
        <v>8</v>
      </c>
      <c r="B395" s="20">
        <v>301815</v>
      </c>
      <c r="C395" s="21" t="s">
        <v>183</v>
      </c>
      <c r="D395" s="20" t="s">
        <v>28</v>
      </c>
      <c r="E395" s="20">
        <v>75</v>
      </c>
      <c r="F395" s="23">
        <v>75</v>
      </c>
      <c r="G395" s="20">
        <v>1140</v>
      </c>
      <c r="H395" s="24">
        <f t="shared" si="43"/>
        <v>6.5789473684210523E-2</v>
      </c>
      <c r="I395" s="47"/>
      <c r="L395" s="4"/>
      <c r="M395" s="5"/>
      <c r="N395" s="4"/>
      <c r="AB395"/>
      <c r="AC395" s="6"/>
      <c r="AE395" s="7"/>
      <c r="AF395" s="6"/>
      <c r="AI395" s="7"/>
      <c r="AJ395"/>
    </row>
    <row r="396" spans="1:36" ht="15" thickBot="1" x14ac:dyDescent="0.4">
      <c r="A396" s="19">
        <v>9</v>
      </c>
      <c r="B396" s="20">
        <v>301816</v>
      </c>
      <c r="C396" s="21" t="s">
        <v>184</v>
      </c>
      <c r="D396" s="20" t="s">
        <v>28</v>
      </c>
      <c r="E396" s="20">
        <v>30</v>
      </c>
      <c r="F396" s="23">
        <v>30</v>
      </c>
      <c r="G396" s="20">
        <v>890</v>
      </c>
      <c r="H396" s="24">
        <f t="shared" si="43"/>
        <v>3.3707865168539325E-2</v>
      </c>
      <c r="I396" s="47"/>
      <c r="L396" s="4"/>
      <c r="M396" s="5"/>
      <c r="N396" s="4"/>
      <c r="AB396"/>
      <c r="AC396" s="6"/>
      <c r="AE396" s="7"/>
      <c r="AF396" s="6"/>
      <c r="AI396" s="7"/>
      <c r="AJ396"/>
    </row>
    <row r="397" spans="1:36" ht="15" thickBot="1" x14ac:dyDescent="0.4">
      <c r="A397" s="19">
        <v>10</v>
      </c>
      <c r="B397" s="20">
        <v>901325</v>
      </c>
      <c r="C397" s="21" t="s">
        <v>41</v>
      </c>
      <c r="D397" s="20" t="s">
        <v>28</v>
      </c>
      <c r="E397" s="20">
        <v>750</v>
      </c>
      <c r="F397" s="23">
        <v>750</v>
      </c>
      <c r="G397" s="20">
        <v>2205</v>
      </c>
      <c r="H397" s="24">
        <f t="shared" si="43"/>
        <v>0.3401360544217687</v>
      </c>
      <c r="I397" s="47"/>
      <c r="L397" s="4"/>
      <c r="M397" s="5"/>
      <c r="N397" s="4"/>
      <c r="AB397"/>
      <c r="AC397" s="6"/>
      <c r="AE397" s="7"/>
      <c r="AF397" s="6"/>
      <c r="AI397" s="7"/>
      <c r="AJ397"/>
    </row>
    <row r="398" spans="1:36" ht="15" thickBot="1" x14ac:dyDescent="0.4">
      <c r="A398" s="19">
        <v>11</v>
      </c>
      <c r="B398" s="20">
        <v>901326</v>
      </c>
      <c r="C398" s="21" t="s">
        <v>42</v>
      </c>
      <c r="D398" s="20" t="s">
        <v>28</v>
      </c>
      <c r="E398" s="20">
        <v>300</v>
      </c>
      <c r="F398" s="23">
        <v>300</v>
      </c>
      <c r="G398" s="20">
        <v>1800</v>
      </c>
      <c r="H398" s="24">
        <f t="shared" si="43"/>
        <v>0.16666666666666666</v>
      </c>
      <c r="I398" s="47"/>
      <c r="L398" s="4"/>
      <c r="M398" s="5"/>
      <c r="N398" s="4"/>
      <c r="AB398"/>
      <c r="AC398" s="6"/>
      <c r="AE398" s="7"/>
      <c r="AF398" s="6"/>
      <c r="AI398" s="7"/>
      <c r="AJ398"/>
    </row>
    <row r="399" spans="1:36" ht="15" thickBot="1" x14ac:dyDescent="0.4">
      <c r="A399" s="19">
        <v>12</v>
      </c>
      <c r="B399" s="20">
        <v>901327</v>
      </c>
      <c r="C399" s="21" t="s">
        <v>98</v>
      </c>
      <c r="D399" s="20" t="s">
        <v>28</v>
      </c>
      <c r="E399" s="20">
        <v>1000</v>
      </c>
      <c r="F399" s="23">
        <v>1000</v>
      </c>
      <c r="G399" s="20">
        <v>1260</v>
      </c>
      <c r="H399" s="24">
        <f t="shared" si="43"/>
        <v>0.79365079365079361</v>
      </c>
      <c r="I399" s="47"/>
      <c r="L399" s="4"/>
      <c r="M399" s="5"/>
      <c r="N399" s="4"/>
      <c r="AB399"/>
      <c r="AC399" s="6"/>
      <c r="AE399" s="7"/>
      <c r="AF399" s="6"/>
      <c r="AI399" s="7"/>
      <c r="AJ399"/>
    </row>
    <row r="400" spans="1:36" ht="15" thickBot="1" x14ac:dyDescent="0.4">
      <c r="A400" s="19">
        <v>13</v>
      </c>
      <c r="B400" s="20">
        <v>901328</v>
      </c>
      <c r="C400" s="21" t="s">
        <v>43</v>
      </c>
      <c r="D400" s="20" t="s">
        <v>28</v>
      </c>
      <c r="E400" s="20">
        <v>500</v>
      </c>
      <c r="F400" s="23">
        <v>500</v>
      </c>
      <c r="G400" s="20">
        <v>1170</v>
      </c>
      <c r="H400" s="24">
        <f t="shared" si="43"/>
        <v>0.42735042735042733</v>
      </c>
      <c r="I400" s="47"/>
      <c r="L400" s="4"/>
      <c r="M400" s="5"/>
      <c r="N400" s="4"/>
      <c r="AB400"/>
      <c r="AC400" s="6"/>
      <c r="AE400" s="7"/>
      <c r="AF400" s="6"/>
      <c r="AI400" s="7"/>
      <c r="AJ400"/>
    </row>
    <row r="401" spans="1:36" ht="15" thickBot="1" x14ac:dyDescent="0.4">
      <c r="A401" s="19">
        <v>14</v>
      </c>
      <c r="B401" s="20">
        <v>901329</v>
      </c>
      <c r="C401" s="21" t="s">
        <v>44</v>
      </c>
      <c r="D401" s="20" t="s">
        <v>28</v>
      </c>
      <c r="E401" s="20">
        <v>500</v>
      </c>
      <c r="F401" s="23">
        <v>500</v>
      </c>
      <c r="G401" s="20">
        <v>528</v>
      </c>
      <c r="H401" s="24">
        <f t="shared" si="43"/>
        <v>0.94696969696969702</v>
      </c>
      <c r="I401" s="47"/>
      <c r="L401" s="4"/>
      <c r="M401" s="5"/>
      <c r="N401" s="4"/>
      <c r="AB401"/>
      <c r="AC401" s="6"/>
      <c r="AE401" s="7"/>
      <c r="AF401" s="6"/>
      <c r="AI401" s="7"/>
      <c r="AJ401"/>
    </row>
    <row r="402" spans="1:36" ht="15" thickBot="1" x14ac:dyDescent="0.4">
      <c r="A402" s="38"/>
      <c r="B402" s="39" t="s">
        <v>17</v>
      </c>
      <c r="C402" s="30" t="s">
        <v>18</v>
      </c>
      <c r="D402" s="21"/>
      <c r="E402" s="21"/>
      <c r="F402" s="31"/>
      <c r="G402" s="21"/>
      <c r="H402" s="21"/>
      <c r="I402" s="47"/>
      <c r="L402" s="4"/>
      <c r="M402" s="5"/>
      <c r="N402" s="4"/>
      <c r="AB402"/>
      <c r="AC402" s="6"/>
      <c r="AE402" s="7"/>
      <c r="AF402" s="6"/>
      <c r="AI402" s="7"/>
      <c r="AJ402"/>
    </row>
    <row r="403" spans="1:36" ht="15" thickBot="1" x14ac:dyDescent="0.4">
      <c r="A403" s="54"/>
      <c r="B403" s="29" t="s">
        <v>17</v>
      </c>
      <c r="C403" s="33" t="s">
        <v>19</v>
      </c>
      <c r="D403" s="34"/>
      <c r="E403" s="34"/>
      <c r="F403" s="15"/>
      <c r="G403" s="34"/>
      <c r="H403" s="34"/>
      <c r="I403" s="47"/>
      <c r="L403" s="4"/>
      <c r="M403" s="5"/>
      <c r="N403" s="4"/>
      <c r="AB403"/>
      <c r="AC403" s="6"/>
      <c r="AE403" s="7"/>
      <c r="AF403" s="6"/>
      <c r="AI403" s="7"/>
      <c r="AJ403"/>
    </row>
    <row r="404" spans="1:36" ht="15" thickBot="1" x14ac:dyDescent="0.4">
      <c r="A404" s="35"/>
      <c r="B404" s="35"/>
      <c r="C404" s="43"/>
      <c r="D404" s="35"/>
      <c r="E404" s="35"/>
      <c r="F404" s="44">
        <v>7355</v>
      </c>
      <c r="G404" s="35"/>
      <c r="H404" s="45">
        <f>SUM(H388:H403)</f>
        <v>4.4474198049889484</v>
      </c>
      <c r="I404" s="64"/>
      <c r="L404" s="4"/>
      <c r="M404" s="5"/>
      <c r="N404" s="4"/>
      <c r="AB404"/>
      <c r="AC404" s="6"/>
      <c r="AE404" s="7"/>
      <c r="AF404" s="6"/>
      <c r="AI404" s="7"/>
      <c r="AJ404"/>
    </row>
    <row r="405" spans="1:36" ht="15" thickBot="1" x14ac:dyDescent="0.4">
      <c r="A405" s="77" t="s">
        <v>0</v>
      </c>
      <c r="B405" s="78"/>
      <c r="C405" s="79">
        <v>46209</v>
      </c>
      <c r="D405" s="80"/>
      <c r="E405" s="81" t="s">
        <v>1</v>
      </c>
      <c r="F405" s="82"/>
      <c r="G405" s="41" t="s">
        <v>185</v>
      </c>
      <c r="H405" s="65"/>
      <c r="I405" s="12"/>
      <c r="J405" s="66"/>
    </row>
    <row r="406" spans="1:36" ht="15" thickBot="1" x14ac:dyDescent="0.4">
      <c r="A406" s="83" t="s">
        <v>3</v>
      </c>
      <c r="B406" s="84"/>
      <c r="C406" s="8" t="s">
        <v>186</v>
      </c>
      <c r="D406" s="9"/>
      <c r="E406" s="85" t="s">
        <v>5</v>
      </c>
      <c r="F406" s="86"/>
      <c r="G406" s="42" t="s">
        <v>187</v>
      </c>
      <c r="H406" s="11"/>
      <c r="I406" s="12"/>
      <c r="J406" s="67"/>
    </row>
    <row r="407" spans="1:36" ht="15" thickBot="1" x14ac:dyDescent="0.4">
      <c r="A407" s="13"/>
      <c r="B407" s="14" t="s">
        <v>6</v>
      </c>
      <c r="C407" s="15"/>
      <c r="D407" s="14" t="s">
        <v>7</v>
      </c>
      <c r="E407" s="16" t="s">
        <v>8</v>
      </c>
      <c r="F407" s="17" t="s">
        <v>9</v>
      </c>
      <c r="G407" s="18" t="s">
        <v>10</v>
      </c>
      <c r="H407" s="62" t="s">
        <v>11</v>
      </c>
      <c r="I407" s="12"/>
      <c r="L407" s="4"/>
      <c r="M407" s="5"/>
      <c r="N407" s="4"/>
      <c r="AB407"/>
      <c r="AC407" s="6"/>
      <c r="AE407" s="7"/>
      <c r="AF407" s="6"/>
      <c r="AI407" s="7"/>
      <c r="AJ407"/>
    </row>
    <row r="408" spans="1:36" ht="15" thickBot="1" x14ac:dyDescent="0.4">
      <c r="A408" s="19">
        <v>1</v>
      </c>
      <c r="B408" s="20">
        <v>306209</v>
      </c>
      <c r="C408" s="21" t="s">
        <v>160</v>
      </c>
      <c r="D408" s="20" t="s">
        <v>23</v>
      </c>
      <c r="E408" s="20">
        <v>20</v>
      </c>
      <c r="F408" s="23">
        <v>20</v>
      </c>
      <c r="G408" s="20">
        <v>162</v>
      </c>
      <c r="H408" s="24">
        <f t="shared" ref="H408" si="44">F408/G408</f>
        <v>0.12345679012345678</v>
      </c>
      <c r="I408" s="63"/>
      <c r="L408" s="4"/>
      <c r="M408" s="5"/>
      <c r="N408" s="4"/>
      <c r="AB408"/>
      <c r="AC408" s="6"/>
      <c r="AE408" s="7"/>
      <c r="AF408" s="6"/>
      <c r="AI408" s="7"/>
      <c r="AJ408"/>
    </row>
    <row r="409" spans="1:36" ht="15" thickBot="1" x14ac:dyDescent="0.4">
      <c r="A409" s="38"/>
      <c r="B409" s="21"/>
      <c r="C409" s="21" t="s">
        <v>161</v>
      </c>
      <c r="D409" s="21"/>
      <c r="E409" s="21"/>
      <c r="F409" s="31"/>
      <c r="G409" s="21"/>
      <c r="H409" s="21"/>
      <c r="I409" s="47"/>
      <c r="L409" s="4"/>
      <c r="M409" s="5"/>
      <c r="N409" s="4"/>
      <c r="AB409"/>
      <c r="AC409" s="6"/>
      <c r="AE409" s="7"/>
      <c r="AF409" s="6"/>
      <c r="AI409" s="7"/>
      <c r="AJ409"/>
    </row>
    <row r="410" spans="1:36" ht="15" thickBot="1" x14ac:dyDescent="0.4">
      <c r="A410" s="38"/>
      <c r="B410" s="21"/>
      <c r="C410" s="21" t="s">
        <v>162</v>
      </c>
      <c r="D410" s="21"/>
      <c r="E410" s="21"/>
      <c r="F410" s="31"/>
      <c r="G410" s="21"/>
      <c r="H410" s="21"/>
      <c r="I410" s="47"/>
      <c r="L410" s="4"/>
      <c r="M410" s="5"/>
      <c r="N410" s="4"/>
      <c r="AB410"/>
      <c r="AC410" s="6"/>
      <c r="AE410" s="7"/>
      <c r="AF410" s="6"/>
      <c r="AI410" s="7"/>
      <c r="AJ410"/>
    </row>
    <row r="411" spans="1:36" ht="15" thickBot="1" x14ac:dyDescent="0.4">
      <c r="A411" s="38"/>
      <c r="B411" s="39" t="s">
        <v>17</v>
      </c>
      <c r="C411" s="30" t="s">
        <v>188</v>
      </c>
      <c r="D411" s="21"/>
      <c r="E411" s="21"/>
      <c r="F411" s="31"/>
      <c r="G411" s="21"/>
      <c r="H411" s="21"/>
      <c r="I411" s="47"/>
      <c r="L411" s="4"/>
      <c r="M411" s="5"/>
      <c r="N411" s="4"/>
      <c r="AB411"/>
      <c r="AC411" s="6"/>
      <c r="AE411" s="7"/>
      <c r="AF411" s="6"/>
      <c r="AI411" s="7"/>
      <c r="AJ411"/>
    </row>
    <row r="412" spans="1:36" ht="15" thickBot="1" x14ac:dyDescent="0.4">
      <c r="A412" s="54"/>
      <c r="B412" s="29" t="s">
        <v>17</v>
      </c>
      <c r="C412" s="33" t="s">
        <v>19</v>
      </c>
      <c r="D412" s="34"/>
      <c r="E412" s="34"/>
      <c r="F412" s="15"/>
      <c r="G412" s="34"/>
      <c r="H412" s="34"/>
      <c r="I412" s="47"/>
      <c r="L412" s="4"/>
      <c r="M412" s="5"/>
      <c r="N412" s="4"/>
      <c r="AB412"/>
      <c r="AC412" s="6"/>
      <c r="AE412" s="7"/>
      <c r="AF412" s="6"/>
      <c r="AI412" s="7"/>
      <c r="AJ412"/>
    </row>
    <row r="413" spans="1:36" ht="15" thickBot="1" x14ac:dyDescent="0.4">
      <c r="A413" s="35"/>
      <c r="B413" s="35"/>
      <c r="C413" s="43"/>
      <c r="D413" s="35"/>
      <c r="E413" s="35"/>
      <c r="F413" s="44">
        <v>20</v>
      </c>
      <c r="G413" s="35"/>
      <c r="H413" s="45">
        <f>SUM(H408:H412)</f>
        <v>0.12345679012345678</v>
      </c>
      <c r="I413" s="35"/>
      <c r="L413" s="4"/>
      <c r="M413" s="5"/>
      <c r="N413" s="4"/>
      <c r="AB413"/>
      <c r="AC413" s="6"/>
      <c r="AE413" s="7"/>
      <c r="AF413" s="6"/>
      <c r="AI413" s="7"/>
      <c r="AJ413"/>
    </row>
    <row r="414" spans="1:36" ht="15" thickBot="1" x14ac:dyDescent="0.4">
      <c r="A414" s="77" t="s">
        <v>0</v>
      </c>
      <c r="B414" s="78"/>
      <c r="C414" s="79">
        <v>46209</v>
      </c>
      <c r="D414" s="80"/>
      <c r="E414" s="81" t="s">
        <v>1</v>
      </c>
      <c r="F414" s="82"/>
      <c r="G414" s="41" t="s">
        <v>58</v>
      </c>
      <c r="H414" s="65"/>
      <c r="I414" s="12"/>
      <c r="J414" s="12"/>
    </row>
    <row r="415" spans="1:36" ht="15" thickBot="1" x14ac:dyDescent="0.4">
      <c r="A415" s="83" t="s">
        <v>3</v>
      </c>
      <c r="B415" s="84"/>
      <c r="C415" s="8" t="s">
        <v>189</v>
      </c>
      <c r="D415" s="9"/>
      <c r="E415" s="85" t="s">
        <v>5</v>
      </c>
      <c r="F415" s="86"/>
      <c r="G415" s="10">
        <v>113178</v>
      </c>
      <c r="H415" s="11"/>
      <c r="I415" s="12"/>
      <c r="J415" s="12"/>
    </row>
    <row r="416" spans="1:36" ht="15" thickBot="1" x14ac:dyDescent="0.4">
      <c r="A416" s="13"/>
      <c r="B416" s="14" t="s">
        <v>6</v>
      </c>
      <c r="C416" s="15"/>
      <c r="D416" s="14" t="s">
        <v>7</v>
      </c>
      <c r="E416" s="16" t="s">
        <v>8</v>
      </c>
      <c r="F416" s="17" t="s">
        <v>9</v>
      </c>
      <c r="G416" s="18" t="s">
        <v>10</v>
      </c>
      <c r="H416" s="62" t="s">
        <v>11</v>
      </c>
      <c r="I416" s="12"/>
      <c r="L416" s="4"/>
      <c r="M416" s="5"/>
      <c r="N416" s="4"/>
      <c r="AB416"/>
      <c r="AC416" s="6"/>
      <c r="AE416" s="7"/>
      <c r="AF416" s="6"/>
      <c r="AI416" s="7"/>
      <c r="AJ416"/>
    </row>
    <row r="417" spans="1:36" ht="15" thickBot="1" x14ac:dyDescent="0.4">
      <c r="A417" s="19">
        <v>1</v>
      </c>
      <c r="B417" s="20">
        <v>800659</v>
      </c>
      <c r="C417" s="21" t="s">
        <v>104</v>
      </c>
      <c r="D417" s="20" t="s">
        <v>23</v>
      </c>
      <c r="E417" s="20">
        <v>5000</v>
      </c>
      <c r="F417" s="23">
        <v>5000</v>
      </c>
      <c r="G417" s="20">
        <v>3366</v>
      </c>
      <c r="H417" s="24">
        <f t="shared" ref="H417" si="45">F417/G417</f>
        <v>1.4854426619132501</v>
      </c>
      <c r="I417" s="12"/>
      <c r="L417" s="4"/>
      <c r="M417" s="5"/>
      <c r="N417" s="4"/>
      <c r="AB417"/>
      <c r="AC417" s="6"/>
      <c r="AE417" s="7"/>
      <c r="AF417" s="6"/>
      <c r="AI417" s="7"/>
      <c r="AJ417"/>
    </row>
    <row r="418" spans="1:36" ht="15" thickBot="1" x14ac:dyDescent="0.4">
      <c r="A418" s="38"/>
      <c r="B418" s="39" t="s">
        <v>17</v>
      </c>
      <c r="C418" s="30" t="s">
        <v>18</v>
      </c>
      <c r="D418" s="21"/>
      <c r="E418" s="21"/>
      <c r="F418" s="31"/>
      <c r="G418" s="21"/>
      <c r="H418" s="21"/>
      <c r="I418" s="63"/>
      <c r="L418" s="4"/>
      <c r="M418" s="5"/>
      <c r="N418" s="4"/>
      <c r="AB418"/>
      <c r="AC418" s="6"/>
      <c r="AE418" s="7"/>
      <c r="AF418" s="6"/>
      <c r="AI418" s="7"/>
      <c r="AJ418"/>
    </row>
    <row r="419" spans="1:36" ht="15" thickBot="1" x14ac:dyDescent="0.4">
      <c r="A419" s="54"/>
      <c r="B419" s="29" t="s">
        <v>17</v>
      </c>
      <c r="C419" s="33" t="s">
        <v>19</v>
      </c>
      <c r="D419" s="34"/>
      <c r="E419" s="34"/>
      <c r="F419" s="15"/>
      <c r="G419" s="34"/>
      <c r="H419" s="34"/>
      <c r="I419" s="47"/>
      <c r="L419" s="4"/>
      <c r="M419" s="5"/>
      <c r="N419" s="4"/>
      <c r="AB419"/>
      <c r="AC419" s="6"/>
      <c r="AE419" s="7"/>
      <c r="AF419" s="6"/>
      <c r="AI419" s="7"/>
      <c r="AJ419"/>
    </row>
    <row r="420" spans="1:36" ht="15" thickBot="1" x14ac:dyDescent="0.4">
      <c r="A420" s="35"/>
      <c r="B420" s="35"/>
      <c r="C420" s="43"/>
      <c r="D420" s="35"/>
      <c r="E420" s="35"/>
      <c r="F420" s="44">
        <v>5000</v>
      </c>
      <c r="G420" s="35"/>
      <c r="H420" s="45">
        <f>SUM(H417:H419)</f>
        <v>1.4854426619132501</v>
      </c>
      <c r="I420" s="35"/>
      <c r="L420" s="4"/>
      <c r="M420" s="5"/>
      <c r="N420" s="4"/>
      <c r="AB420"/>
      <c r="AC420" s="6"/>
      <c r="AE420" s="7"/>
      <c r="AF420" s="6"/>
      <c r="AI420" s="7"/>
      <c r="AJ420"/>
    </row>
    <row r="421" spans="1:36" ht="15" thickBot="1" x14ac:dyDescent="0.4">
      <c r="A421" s="77" t="s">
        <v>0</v>
      </c>
      <c r="B421" s="78"/>
      <c r="C421" s="79">
        <v>46209</v>
      </c>
      <c r="D421" s="80"/>
      <c r="E421" s="81" t="s">
        <v>1</v>
      </c>
      <c r="F421" s="82"/>
      <c r="G421" s="41" t="s">
        <v>58</v>
      </c>
      <c r="H421" s="2"/>
      <c r="I421" s="3"/>
    </row>
    <row r="422" spans="1:36" ht="15" thickBot="1" x14ac:dyDescent="0.4">
      <c r="A422" s="83" t="s">
        <v>3</v>
      </c>
      <c r="B422" s="84"/>
      <c r="C422" s="8" t="s">
        <v>190</v>
      </c>
      <c r="D422" s="9"/>
      <c r="E422" s="85" t="s">
        <v>5</v>
      </c>
      <c r="F422" s="86"/>
      <c r="G422" s="10">
        <v>113178</v>
      </c>
      <c r="H422" s="11"/>
      <c r="I422" s="12"/>
    </row>
    <row r="423" spans="1:36" ht="15" thickBot="1" x14ac:dyDescent="0.4">
      <c r="A423" s="13"/>
      <c r="B423" s="14" t="s">
        <v>6</v>
      </c>
      <c r="C423" s="15"/>
      <c r="D423" s="14" t="s">
        <v>7</v>
      </c>
      <c r="E423" s="16" t="s">
        <v>8</v>
      </c>
      <c r="F423" s="17" t="s">
        <v>9</v>
      </c>
      <c r="G423" s="18" t="s">
        <v>10</v>
      </c>
      <c r="H423" s="14" t="s">
        <v>11</v>
      </c>
      <c r="L423" s="4"/>
      <c r="M423" s="5"/>
      <c r="N423" s="4"/>
      <c r="AB423"/>
      <c r="AC423" s="6"/>
      <c r="AE423" s="7"/>
      <c r="AF423" s="6"/>
      <c r="AI423" s="7"/>
      <c r="AJ423"/>
    </row>
    <row r="424" spans="1:36" ht="15" thickBot="1" x14ac:dyDescent="0.4">
      <c r="A424" s="19">
        <v>1</v>
      </c>
      <c r="B424" s="20">
        <v>306209</v>
      </c>
      <c r="C424" s="21" t="s">
        <v>160</v>
      </c>
      <c r="D424" s="20" t="s">
        <v>23</v>
      </c>
      <c r="E424" s="20">
        <v>150</v>
      </c>
      <c r="F424" s="23">
        <v>150</v>
      </c>
      <c r="G424" s="20">
        <v>162</v>
      </c>
      <c r="H424" s="24">
        <f t="shared" ref="H424" si="46">F424/G424</f>
        <v>0.92592592592592593</v>
      </c>
      <c r="L424" s="4"/>
      <c r="M424" s="5"/>
      <c r="N424" s="4"/>
      <c r="AB424"/>
      <c r="AC424" s="6"/>
      <c r="AE424" s="7"/>
      <c r="AF424" s="6"/>
      <c r="AI424" s="7"/>
      <c r="AJ424"/>
    </row>
    <row r="425" spans="1:36" ht="15" thickBot="1" x14ac:dyDescent="0.4">
      <c r="A425" s="38"/>
      <c r="B425" s="21"/>
      <c r="C425" s="21" t="s">
        <v>161</v>
      </c>
      <c r="D425" s="21"/>
      <c r="E425" s="21"/>
      <c r="F425" s="31"/>
      <c r="G425" s="21"/>
      <c r="H425" s="21"/>
      <c r="L425" s="4"/>
      <c r="M425" s="5"/>
      <c r="N425" s="4"/>
      <c r="AB425"/>
      <c r="AC425" s="6"/>
      <c r="AE425" s="7"/>
      <c r="AF425" s="6"/>
      <c r="AI425" s="7"/>
      <c r="AJ425"/>
    </row>
    <row r="426" spans="1:36" ht="15" thickBot="1" x14ac:dyDescent="0.4">
      <c r="A426" s="38"/>
      <c r="B426" s="21"/>
      <c r="C426" s="21" t="s">
        <v>162</v>
      </c>
      <c r="D426" s="21"/>
      <c r="E426" s="21"/>
      <c r="F426" s="31"/>
      <c r="G426" s="21"/>
      <c r="H426" s="21"/>
      <c r="L426" s="4"/>
      <c r="M426" s="5"/>
      <c r="N426" s="4"/>
      <c r="AB426"/>
      <c r="AC426" s="6"/>
      <c r="AE426" s="7"/>
      <c r="AF426" s="6"/>
      <c r="AI426" s="7"/>
      <c r="AJ426"/>
    </row>
    <row r="427" spans="1:36" ht="15" thickBot="1" x14ac:dyDescent="0.4">
      <c r="A427" s="38"/>
      <c r="B427" s="39" t="s">
        <v>17</v>
      </c>
      <c r="C427" s="30" t="s">
        <v>18</v>
      </c>
      <c r="D427" s="21"/>
      <c r="E427" s="21"/>
      <c r="F427" s="31"/>
      <c r="G427" s="21"/>
      <c r="H427" s="21"/>
      <c r="L427" s="4"/>
      <c r="M427" s="5"/>
      <c r="N427" s="4"/>
      <c r="AB427"/>
      <c r="AC427" s="6"/>
      <c r="AE427" s="7"/>
      <c r="AF427" s="6"/>
      <c r="AI427" s="7"/>
      <c r="AJ427"/>
    </row>
    <row r="428" spans="1:36" ht="15" thickBot="1" x14ac:dyDescent="0.4">
      <c r="A428" s="54"/>
      <c r="B428" s="29" t="s">
        <v>17</v>
      </c>
      <c r="C428" s="33" t="s">
        <v>19</v>
      </c>
      <c r="D428" s="34"/>
      <c r="E428" s="34"/>
      <c r="F428" s="15"/>
      <c r="G428" s="34"/>
      <c r="H428" s="34"/>
      <c r="L428" s="4"/>
      <c r="M428" s="5"/>
      <c r="N428" s="4"/>
      <c r="AB428"/>
      <c r="AC428" s="6"/>
      <c r="AE428" s="7"/>
      <c r="AF428" s="6"/>
      <c r="AI428" s="7"/>
      <c r="AJ428"/>
    </row>
    <row r="429" spans="1:36" ht="15" thickBot="1" x14ac:dyDescent="0.4">
      <c r="A429" s="35"/>
      <c r="B429" s="35"/>
      <c r="C429" s="43"/>
      <c r="D429" s="35"/>
      <c r="E429" s="35"/>
      <c r="F429" s="44">
        <f>SUM(F424:F428)</f>
        <v>150</v>
      </c>
      <c r="G429" s="35"/>
      <c r="H429" s="45">
        <f>SUM(H424:H428)</f>
        <v>0.92592592592592593</v>
      </c>
      <c r="L429" s="4"/>
      <c r="M429" s="5"/>
      <c r="N429" s="4"/>
      <c r="AB429"/>
      <c r="AC429" s="6"/>
      <c r="AE429" s="7"/>
      <c r="AF429" s="6"/>
      <c r="AI429" s="7"/>
      <c r="AJ429"/>
    </row>
    <row r="430" spans="1:36" ht="15" thickBot="1" x14ac:dyDescent="0.4">
      <c r="A430" s="77" t="s">
        <v>0</v>
      </c>
      <c r="B430" s="78"/>
      <c r="C430" s="79">
        <v>46216</v>
      </c>
      <c r="D430" s="80"/>
      <c r="E430" s="81" t="s">
        <v>1</v>
      </c>
      <c r="F430" s="82"/>
      <c r="G430" s="41" t="s">
        <v>191</v>
      </c>
      <c r="H430" s="2"/>
      <c r="I430" s="3"/>
    </row>
    <row r="431" spans="1:36" ht="15" thickBot="1" x14ac:dyDescent="0.4">
      <c r="A431" s="83" t="s">
        <v>3</v>
      </c>
      <c r="B431" s="84"/>
      <c r="C431" s="8" t="s">
        <v>192</v>
      </c>
      <c r="D431" s="9"/>
      <c r="E431" s="85" t="s">
        <v>5</v>
      </c>
      <c r="F431" s="86"/>
      <c r="G431" s="42" t="s">
        <v>193</v>
      </c>
      <c r="H431" s="11"/>
      <c r="I431" s="12"/>
    </row>
    <row r="432" spans="1:36" ht="15" thickBot="1" x14ac:dyDescent="0.4">
      <c r="A432" s="13"/>
      <c r="B432" s="14" t="s">
        <v>6</v>
      </c>
      <c r="C432" s="15"/>
      <c r="D432" s="14" t="s">
        <v>7</v>
      </c>
      <c r="E432" s="16" t="s">
        <v>8</v>
      </c>
      <c r="F432" s="17" t="s">
        <v>9</v>
      </c>
      <c r="G432" s="18" t="s">
        <v>10</v>
      </c>
      <c r="H432" s="14" t="s">
        <v>11</v>
      </c>
      <c r="L432" s="4"/>
      <c r="M432" s="5"/>
      <c r="N432" s="4"/>
      <c r="AB432"/>
      <c r="AC432" s="6"/>
      <c r="AE432" s="7"/>
      <c r="AF432" s="6"/>
      <c r="AI432" s="7"/>
      <c r="AJ432"/>
    </row>
    <row r="433" spans="1:36" ht="15" thickBot="1" x14ac:dyDescent="0.4">
      <c r="A433" s="19">
        <v>1</v>
      </c>
      <c r="B433" s="20">
        <v>306232</v>
      </c>
      <c r="C433" s="21" t="s">
        <v>194</v>
      </c>
      <c r="D433" s="20" t="s">
        <v>23</v>
      </c>
      <c r="E433" s="20">
        <v>600</v>
      </c>
      <c r="F433" s="23">
        <v>600</v>
      </c>
      <c r="G433" s="20">
        <v>4180</v>
      </c>
      <c r="H433" s="24">
        <f t="shared" ref="H433:H434" si="47">F433/G433</f>
        <v>0.14354066985645933</v>
      </c>
      <c r="L433" s="4"/>
      <c r="M433" s="5"/>
      <c r="N433" s="4"/>
      <c r="AB433"/>
      <c r="AC433" s="6"/>
      <c r="AE433" s="7"/>
      <c r="AF433" s="6"/>
      <c r="AI433" s="7"/>
      <c r="AJ433"/>
    </row>
    <row r="434" spans="1:36" ht="15" thickBot="1" x14ac:dyDescent="0.4">
      <c r="A434" s="19">
        <v>2</v>
      </c>
      <c r="B434" s="20">
        <v>306233</v>
      </c>
      <c r="C434" s="21" t="s">
        <v>195</v>
      </c>
      <c r="D434" s="20" t="s">
        <v>23</v>
      </c>
      <c r="E434" s="20">
        <v>600</v>
      </c>
      <c r="F434" s="23">
        <v>600</v>
      </c>
      <c r="G434" s="20">
        <v>1218</v>
      </c>
      <c r="H434" s="24">
        <f t="shared" si="47"/>
        <v>0.49261083743842365</v>
      </c>
      <c r="L434" s="4"/>
      <c r="M434" s="5"/>
      <c r="N434" s="4"/>
      <c r="AB434"/>
      <c r="AC434" s="6"/>
      <c r="AE434" s="7"/>
      <c r="AF434" s="6"/>
      <c r="AI434" s="7"/>
      <c r="AJ434"/>
    </row>
    <row r="435" spans="1:36" ht="15" thickBot="1" x14ac:dyDescent="0.4">
      <c r="A435" s="38"/>
      <c r="B435" s="39" t="s">
        <v>17</v>
      </c>
      <c r="C435" s="30" t="s">
        <v>188</v>
      </c>
      <c r="D435" s="21"/>
      <c r="E435" s="21"/>
      <c r="F435" s="31"/>
      <c r="G435" s="21"/>
      <c r="H435" s="21"/>
      <c r="L435" s="4"/>
      <c r="M435" s="5"/>
      <c r="N435" s="4"/>
      <c r="AB435"/>
      <c r="AC435" s="6"/>
      <c r="AE435" s="7"/>
      <c r="AF435" s="6"/>
      <c r="AI435" s="7"/>
      <c r="AJ435"/>
    </row>
    <row r="436" spans="1:36" ht="15" thickBot="1" x14ac:dyDescent="0.4">
      <c r="A436" s="38"/>
      <c r="B436" s="39" t="s">
        <v>17</v>
      </c>
      <c r="C436" s="1" t="s">
        <v>196</v>
      </c>
      <c r="D436" s="21"/>
      <c r="E436" s="21"/>
      <c r="F436" s="31"/>
      <c r="G436" s="21"/>
      <c r="H436" s="21"/>
      <c r="L436" s="4"/>
      <c r="M436" s="5"/>
      <c r="N436" s="4"/>
      <c r="AB436"/>
      <c r="AC436" s="6"/>
      <c r="AE436" s="7"/>
      <c r="AF436" s="6"/>
      <c r="AI436" s="7"/>
      <c r="AJ436"/>
    </row>
    <row r="437" spans="1:36" ht="15" thickBot="1" x14ac:dyDescent="0.4">
      <c r="A437" s="54"/>
      <c r="B437" s="29" t="s">
        <v>17</v>
      </c>
      <c r="C437" s="33" t="s">
        <v>19</v>
      </c>
      <c r="D437" s="34"/>
      <c r="E437" s="34"/>
      <c r="F437" s="15"/>
      <c r="G437" s="34"/>
      <c r="H437" s="34"/>
      <c r="L437" s="4"/>
      <c r="M437" s="5"/>
      <c r="N437" s="4"/>
      <c r="AB437"/>
      <c r="AC437" s="6"/>
      <c r="AE437" s="7"/>
      <c r="AF437" s="6"/>
      <c r="AI437" s="7"/>
      <c r="AJ437"/>
    </row>
    <row r="438" spans="1:36" ht="15" thickBot="1" x14ac:dyDescent="0.4">
      <c r="A438" s="35"/>
      <c r="B438" s="35"/>
      <c r="C438" s="43"/>
      <c r="D438" s="35"/>
      <c r="E438" s="35"/>
      <c r="F438" s="44">
        <v>1200</v>
      </c>
      <c r="G438" s="35"/>
      <c r="H438" s="45">
        <v>0.64</v>
      </c>
      <c r="L438" s="4"/>
      <c r="M438" s="5"/>
      <c r="N438" s="4"/>
      <c r="AB438"/>
      <c r="AC438" s="6"/>
      <c r="AE438" s="7"/>
      <c r="AF438" s="6"/>
      <c r="AI438" s="7"/>
      <c r="AJ438"/>
    </row>
    <row r="439" spans="1:36" ht="15" thickBot="1" x14ac:dyDescent="0.4">
      <c r="A439" s="77" t="s">
        <v>0</v>
      </c>
      <c r="B439" s="78"/>
      <c r="C439" s="79">
        <v>46218</v>
      </c>
      <c r="D439" s="80"/>
      <c r="E439" s="81" t="s">
        <v>1</v>
      </c>
      <c r="F439" s="82"/>
      <c r="G439" s="41" t="s">
        <v>58</v>
      </c>
      <c r="H439" s="2"/>
      <c r="I439" s="3"/>
    </row>
    <row r="440" spans="1:36" ht="15" thickBot="1" x14ac:dyDescent="0.4">
      <c r="A440" s="83" t="s">
        <v>3</v>
      </c>
      <c r="B440" s="84"/>
      <c r="C440" s="8" t="s">
        <v>197</v>
      </c>
      <c r="D440" s="9"/>
      <c r="E440" s="85" t="s">
        <v>5</v>
      </c>
      <c r="F440" s="86"/>
      <c r="G440" s="42" t="s">
        <v>198</v>
      </c>
      <c r="H440" s="11"/>
      <c r="I440" s="12"/>
    </row>
    <row r="441" spans="1:36" ht="15" thickBot="1" x14ac:dyDescent="0.4">
      <c r="A441" s="13"/>
      <c r="B441" s="14" t="s">
        <v>6</v>
      </c>
      <c r="C441" s="15"/>
      <c r="D441" s="14" t="s">
        <v>7</v>
      </c>
      <c r="E441" s="16" t="s">
        <v>8</v>
      </c>
      <c r="F441" s="17" t="s">
        <v>9</v>
      </c>
      <c r="G441" s="18" t="s">
        <v>10</v>
      </c>
      <c r="H441" s="14" t="s">
        <v>11</v>
      </c>
      <c r="L441" s="4"/>
      <c r="M441" s="5"/>
      <c r="N441" s="4"/>
      <c r="AB441"/>
      <c r="AC441" s="6"/>
      <c r="AE441" s="7"/>
      <c r="AF441" s="6"/>
      <c r="AI441" s="7"/>
      <c r="AJ441"/>
    </row>
    <row r="442" spans="1:36" ht="15" thickBot="1" x14ac:dyDescent="0.4">
      <c r="A442" s="19">
        <v>1</v>
      </c>
      <c r="B442" s="20">
        <v>302037</v>
      </c>
      <c r="C442" s="21" t="s">
        <v>101</v>
      </c>
      <c r="D442" s="20" t="s">
        <v>23</v>
      </c>
      <c r="E442" s="20">
        <v>1</v>
      </c>
      <c r="F442" s="23">
        <v>1</v>
      </c>
      <c r="G442" s="20">
        <v>162</v>
      </c>
      <c r="H442" s="24">
        <f t="shared" ref="H442" si="48">F442/G442</f>
        <v>6.1728395061728392E-3</v>
      </c>
      <c r="L442" s="4"/>
      <c r="M442" s="5"/>
      <c r="N442" s="4"/>
      <c r="AB442"/>
      <c r="AC442" s="6"/>
      <c r="AE442" s="7"/>
      <c r="AF442" s="6"/>
      <c r="AI442" s="7"/>
      <c r="AJ442"/>
    </row>
    <row r="443" spans="1:36" ht="15" thickBot="1" x14ac:dyDescent="0.4">
      <c r="A443" s="38"/>
      <c r="B443" s="39" t="s">
        <v>17</v>
      </c>
      <c r="C443" s="30" t="s">
        <v>18</v>
      </c>
      <c r="D443" s="21"/>
      <c r="E443" s="21"/>
      <c r="F443" s="31"/>
      <c r="G443" s="21"/>
      <c r="H443" s="21"/>
      <c r="L443" s="4"/>
      <c r="M443" s="5"/>
      <c r="N443" s="4"/>
      <c r="AB443"/>
      <c r="AC443" s="6"/>
      <c r="AE443" s="7"/>
      <c r="AF443" s="6"/>
      <c r="AI443" s="7"/>
      <c r="AJ443"/>
    </row>
    <row r="444" spans="1:36" ht="15" thickBot="1" x14ac:dyDescent="0.4">
      <c r="A444" s="54"/>
      <c r="B444" s="29" t="s">
        <v>17</v>
      </c>
      <c r="C444" s="33" t="s">
        <v>19</v>
      </c>
      <c r="D444" s="34"/>
      <c r="E444" s="34"/>
      <c r="F444" s="15"/>
      <c r="G444" s="34"/>
      <c r="H444" s="34"/>
      <c r="L444" s="4"/>
      <c r="M444" s="5"/>
      <c r="N444" s="4"/>
      <c r="AB444"/>
      <c r="AC444" s="6"/>
      <c r="AE444" s="7"/>
      <c r="AF444" s="6"/>
      <c r="AI444" s="7"/>
      <c r="AJ444"/>
    </row>
    <row r="445" spans="1:36" ht="15" thickBot="1" x14ac:dyDescent="0.4">
      <c r="A445" s="35"/>
      <c r="B445" s="35"/>
      <c r="C445" s="43"/>
      <c r="D445" s="35"/>
      <c r="E445" s="35"/>
      <c r="F445" s="44">
        <v>1</v>
      </c>
      <c r="G445" s="35"/>
      <c r="H445" s="45">
        <f>SUM(H442:H444)</f>
        <v>6.1728395061728392E-3</v>
      </c>
      <c r="L445" s="4"/>
      <c r="M445" s="5"/>
      <c r="N445" s="4"/>
      <c r="AB445"/>
      <c r="AC445" s="6"/>
      <c r="AE445" s="7"/>
      <c r="AF445" s="6"/>
      <c r="AI445" s="7"/>
      <c r="AJ445"/>
    </row>
    <row r="446" spans="1:36" ht="15" thickBot="1" x14ac:dyDescent="0.4">
      <c r="A446" s="77" t="s">
        <v>0</v>
      </c>
      <c r="B446" s="78"/>
      <c r="C446" s="79">
        <v>46218</v>
      </c>
      <c r="D446" s="80"/>
      <c r="E446" s="81" t="s">
        <v>1</v>
      </c>
      <c r="F446" s="82"/>
      <c r="G446" s="41" t="s">
        <v>58</v>
      </c>
      <c r="H446" s="2"/>
      <c r="I446" s="3"/>
    </row>
    <row r="447" spans="1:36" ht="15" thickBot="1" x14ac:dyDescent="0.4">
      <c r="A447" s="83" t="s">
        <v>3</v>
      </c>
      <c r="B447" s="84"/>
      <c r="C447" s="8" t="s">
        <v>199</v>
      </c>
      <c r="D447" s="9"/>
      <c r="E447" s="85" t="s">
        <v>5</v>
      </c>
      <c r="F447" s="86"/>
      <c r="G447" s="10">
        <v>113190</v>
      </c>
      <c r="H447" s="11"/>
      <c r="I447" s="12"/>
    </row>
    <row r="448" spans="1:36" ht="15" thickBot="1" x14ac:dyDescent="0.4">
      <c r="A448" s="13"/>
      <c r="B448" s="14" t="s">
        <v>6</v>
      </c>
      <c r="C448" s="15"/>
      <c r="D448" s="14" t="s">
        <v>7</v>
      </c>
      <c r="E448" s="16" t="s">
        <v>8</v>
      </c>
      <c r="F448" s="17" t="s">
        <v>9</v>
      </c>
      <c r="G448" s="18" t="s">
        <v>10</v>
      </c>
      <c r="H448" s="14" t="s">
        <v>11</v>
      </c>
      <c r="L448" s="4"/>
      <c r="M448" s="5"/>
      <c r="N448" s="4"/>
      <c r="AB448"/>
      <c r="AC448" s="6"/>
      <c r="AE448" s="7"/>
      <c r="AF448" s="6"/>
      <c r="AI448" s="7"/>
      <c r="AJ448"/>
    </row>
    <row r="449" spans="1:36" ht="15" thickBot="1" x14ac:dyDescent="0.4">
      <c r="A449" s="19">
        <v>1</v>
      </c>
      <c r="B449" s="20">
        <v>306754</v>
      </c>
      <c r="C449" s="21" t="s">
        <v>200</v>
      </c>
      <c r="D449" s="20" t="s">
        <v>23</v>
      </c>
      <c r="E449" s="20">
        <v>30</v>
      </c>
      <c r="F449" s="23">
        <v>30</v>
      </c>
      <c r="G449" s="20">
        <v>440</v>
      </c>
      <c r="H449" s="24">
        <f t="shared" ref="H449" si="49">F449/G449</f>
        <v>6.8181818181818177E-2</v>
      </c>
      <c r="L449" s="4"/>
      <c r="M449" s="5"/>
      <c r="N449" s="4"/>
      <c r="AB449"/>
      <c r="AC449" s="6"/>
      <c r="AE449" s="7"/>
      <c r="AF449" s="6"/>
      <c r="AI449" s="7"/>
      <c r="AJ449"/>
    </row>
    <row r="450" spans="1:36" ht="15" thickBot="1" x14ac:dyDescent="0.4">
      <c r="A450" s="38"/>
      <c r="B450" s="21"/>
      <c r="C450" s="21" t="s">
        <v>201</v>
      </c>
      <c r="D450" s="21"/>
      <c r="E450" s="21"/>
      <c r="F450" s="31"/>
      <c r="G450" s="21"/>
      <c r="H450" s="21"/>
      <c r="L450" s="4"/>
      <c r="M450" s="5"/>
      <c r="N450" s="4"/>
      <c r="AB450"/>
      <c r="AC450" s="6"/>
      <c r="AE450" s="7"/>
      <c r="AF450" s="6"/>
      <c r="AI450" s="7"/>
      <c r="AJ450"/>
    </row>
    <row r="451" spans="1:36" ht="15" thickBot="1" x14ac:dyDescent="0.4">
      <c r="A451" s="38"/>
      <c r="B451" s="21"/>
      <c r="C451" s="21" t="s">
        <v>202</v>
      </c>
      <c r="D451" s="21"/>
      <c r="E451" s="21"/>
      <c r="F451" s="31"/>
      <c r="G451" s="21"/>
      <c r="H451" s="21"/>
      <c r="L451" s="4"/>
      <c r="M451" s="5"/>
      <c r="N451" s="4"/>
      <c r="AB451"/>
      <c r="AC451" s="6"/>
      <c r="AE451" s="7"/>
      <c r="AF451" s="6"/>
      <c r="AI451" s="7"/>
      <c r="AJ451"/>
    </row>
    <row r="452" spans="1:36" ht="15" thickBot="1" x14ac:dyDescent="0.4">
      <c r="A452" s="38"/>
      <c r="B452" s="39" t="s">
        <v>17</v>
      </c>
      <c r="C452" s="30" t="s">
        <v>18</v>
      </c>
      <c r="D452" s="21"/>
      <c r="E452" s="21"/>
      <c r="F452" s="31"/>
      <c r="G452" s="21"/>
      <c r="H452" s="21"/>
      <c r="L452" s="4"/>
      <c r="M452" s="5"/>
      <c r="N452" s="4"/>
      <c r="AB452"/>
      <c r="AC452" s="6"/>
      <c r="AE452" s="7"/>
      <c r="AF452" s="6"/>
      <c r="AI452" s="7"/>
      <c r="AJ452"/>
    </row>
    <row r="453" spans="1:36" ht="15" thickBot="1" x14ac:dyDescent="0.4">
      <c r="A453" s="54"/>
      <c r="B453" s="29" t="s">
        <v>17</v>
      </c>
      <c r="C453" s="33" t="s">
        <v>19</v>
      </c>
      <c r="D453" s="34"/>
      <c r="E453" s="34"/>
      <c r="F453" s="15"/>
      <c r="G453" s="34"/>
      <c r="H453" s="34"/>
      <c r="L453" s="4"/>
      <c r="M453" s="5"/>
      <c r="N453" s="4"/>
      <c r="AB453"/>
      <c r="AC453" s="6"/>
      <c r="AE453" s="7"/>
      <c r="AF453" s="6"/>
      <c r="AI453" s="7"/>
      <c r="AJ453"/>
    </row>
    <row r="454" spans="1:36" ht="15" thickBot="1" x14ac:dyDescent="0.4">
      <c r="A454" s="35"/>
      <c r="B454" s="35"/>
      <c r="C454" s="43"/>
      <c r="D454" s="35"/>
      <c r="E454" s="35"/>
      <c r="F454" s="44">
        <f>SUM(F449:F453)</f>
        <v>30</v>
      </c>
      <c r="G454" s="35"/>
      <c r="H454" s="45">
        <f>SUM(H449:H453)</f>
        <v>6.8181818181818177E-2</v>
      </c>
      <c r="L454" s="4"/>
      <c r="M454" s="5"/>
      <c r="N454" s="4"/>
      <c r="AB454"/>
      <c r="AC454" s="6"/>
      <c r="AE454" s="7"/>
      <c r="AF454" s="6"/>
      <c r="AI454" s="7"/>
      <c r="AJ454"/>
    </row>
    <row r="455" spans="1:36" ht="15" thickBot="1" x14ac:dyDescent="0.4">
      <c r="A455" s="77" t="s">
        <v>0</v>
      </c>
      <c r="B455" s="78"/>
      <c r="C455" s="79">
        <v>46218</v>
      </c>
      <c r="D455" s="80"/>
      <c r="E455" s="81" t="s">
        <v>1</v>
      </c>
      <c r="F455" s="82"/>
      <c r="G455" s="41" t="s">
        <v>2</v>
      </c>
      <c r="H455" s="2"/>
      <c r="I455" s="3"/>
    </row>
    <row r="456" spans="1:36" ht="15" thickBot="1" x14ac:dyDescent="0.4">
      <c r="A456" s="83" t="s">
        <v>3</v>
      </c>
      <c r="B456" s="84"/>
      <c r="C456" s="8" t="s">
        <v>203</v>
      </c>
      <c r="D456" s="9"/>
      <c r="E456" s="85" t="s">
        <v>5</v>
      </c>
      <c r="F456" s="86"/>
      <c r="G456" s="10">
        <v>113206</v>
      </c>
      <c r="H456" s="11"/>
      <c r="I456" s="12"/>
    </row>
    <row r="457" spans="1:36" ht="15" thickBot="1" x14ac:dyDescent="0.4">
      <c r="A457" s="13"/>
      <c r="B457" s="14" t="s">
        <v>6</v>
      </c>
      <c r="C457" s="15"/>
      <c r="D457" s="14" t="s">
        <v>7</v>
      </c>
      <c r="E457" s="16" t="s">
        <v>8</v>
      </c>
      <c r="F457" s="17" t="s">
        <v>9</v>
      </c>
      <c r="G457" s="18" t="s">
        <v>10</v>
      </c>
      <c r="H457" s="14" t="s">
        <v>11</v>
      </c>
      <c r="L457" s="4"/>
      <c r="M457" s="5"/>
      <c r="N457" s="4"/>
      <c r="AB457"/>
      <c r="AC457" s="6"/>
      <c r="AE457" s="7"/>
      <c r="AF457" s="6"/>
      <c r="AI457" s="7"/>
      <c r="AJ457"/>
    </row>
    <row r="458" spans="1:36" ht="15" thickBot="1" x14ac:dyDescent="0.4">
      <c r="A458" s="19">
        <v>1</v>
      </c>
      <c r="B458" s="20">
        <v>300856</v>
      </c>
      <c r="C458" s="21" t="s">
        <v>204</v>
      </c>
      <c r="D458" s="20" t="s">
        <v>28</v>
      </c>
      <c r="E458" s="20">
        <v>500</v>
      </c>
      <c r="F458" s="23">
        <v>500</v>
      </c>
      <c r="G458" s="20">
        <v>22344</v>
      </c>
      <c r="H458" s="24">
        <f t="shared" ref="H458:H471" si="50">F458/G458</f>
        <v>2.2377372001432153E-2</v>
      </c>
      <c r="L458" s="4"/>
      <c r="M458" s="5"/>
      <c r="N458" s="4"/>
      <c r="AB458"/>
      <c r="AC458" s="6"/>
      <c r="AE458" s="7"/>
      <c r="AF458" s="6"/>
      <c r="AI458" s="7"/>
      <c r="AJ458"/>
    </row>
    <row r="459" spans="1:36" ht="15" thickBot="1" x14ac:dyDescent="0.4">
      <c r="A459" s="19">
        <v>2</v>
      </c>
      <c r="B459" s="20">
        <v>301979</v>
      </c>
      <c r="C459" s="21" t="s">
        <v>205</v>
      </c>
      <c r="D459" s="20" t="s">
        <v>28</v>
      </c>
      <c r="E459" s="20">
        <v>100</v>
      </c>
      <c r="F459" s="23">
        <v>100</v>
      </c>
      <c r="G459" s="20">
        <v>3000</v>
      </c>
      <c r="H459" s="24">
        <f t="shared" si="50"/>
        <v>3.3333333333333333E-2</v>
      </c>
      <c r="L459" s="4"/>
      <c r="M459" s="5"/>
      <c r="N459" s="4"/>
      <c r="AB459"/>
      <c r="AC459" s="6"/>
      <c r="AE459" s="7"/>
      <c r="AF459" s="6"/>
      <c r="AI459" s="7"/>
      <c r="AJ459"/>
    </row>
    <row r="460" spans="1:36" ht="15" thickBot="1" x14ac:dyDescent="0.4">
      <c r="A460" s="19">
        <v>3</v>
      </c>
      <c r="B460" s="20">
        <v>302213</v>
      </c>
      <c r="C460" s="21" t="s">
        <v>206</v>
      </c>
      <c r="D460" s="20" t="s">
        <v>28</v>
      </c>
      <c r="E460" s="20">
        <v>100</v>
      </c>
      <c r="F460" s="23">
        <v>100</v>
      </c>
      <c r="G460" s="20">
        <v>3850</v>
      </c>
      <c r="H460" s="24">
        <f t="shared" si="50"/>
        <v>2.5974025974025976E-2</v>
      </c>
      <c r="L460" s="4"/>
      <c r="M460" s="5"/>
      <c r="N460" s="4"/>
      <c r="AB460"/>
      <c r="AC460" s="6"/>
      <c r="AE460" s="7"/>
      <c r="AF460" s="6"/>
      <c r="AI460" s="7"/>
      <c r="AJ460"/>
    </row>
    <row r="461" spans="1:36" ht="15" thickBot="1" x14ac:dyDescent="0.4">
      <c r="A461" s="19">
        <v>4</v>
      </c>
      <c r="B461" s="20">
        <v>302214</v>
      </c>
      <c r="C461" s="21" t="s">
        <v>207</v>
      </c>
      <c r="D461" s="20" t="s">
        <v>28</v>
      </c>
      <c r="E461" s="20">
        <v>100</v>
      </c>
      <c r="F461" s="23">
        <v>100</v>
      </c>
      <c r="G461" s="20">
        <v>1800</v>
      </c>
      <c r="H461" s="24">
        <f t="shared" si="50"/>
        <v>5.5555555555555552E-2</v>
      </c>
      <c r="L461" s="4"/>
      <c r="M461" s="5"/>
      <c r="N461" s="4"/>
      <c r="AB461"/>
      <c r="AC461" s="6"/>
      <c r="AE461" s="7"/>
      <c r="AF461" s="6"/>
      <c r="AI461" s="7"/>
      <c r="AJ461"/>
    </row>
    <row r="462" spans="1:36" ht="15" thickBot="1" x14ac:dyDescent="0.4">
      <c r="A462" s="19">
        <v>5</v>
      </c>
      <c r="B462" s="20">
        <v>302215</v>
      </c>
      <c r="C462" s="21" t="s">
        <v>208</v>
      </c>
      <c r="D462" s="20" t="s">
        <v>28</v>
      </c>
      <c r="E462" s="20">
        <v>50</v>
      </c>
      <c r="F462" s="23">
        <v>50</v>
      </c>
      <c r="G462" s="20">
        <v>1600</v>
      </c>
      <c r="H462" s="24">
        <f t="shared" si="50"/>
        <v>3.125E-2</v>
      </c>
      <c r="L462" s="4"/>
      <c r="M462" s="5"/>
      <c r="N462" s="4"/>
      <c r="AB462"/>
      <c r="AC462" s="6"/>
      <c r="AE462" s="7"/>
      <c r="AF462" s="6"/>
      <c r="AI462" s="7"/>
      <c r="AJ462"/>
    </row>
    <row r="463" spans="1:36" ht="15" thickBot="1" x14ac:dyDescent="0.4">
      <c r="A463" s="19">
        <v>6</v>
      </c>
      <c r="B463" s="20">
        <v>302267</v>
      </c>
      <c r="C463" s="21" t="s">
        <v>167</v>
      </c>
      <c r="D463" s="20" t="s">
        <v>28</v>
      </c>
      <c r="E463" s="20">
        <v>1000</v>
      </c>
      <c r="F463" s="23">
        <v>1000</v>
      </c>
      <c r="G463" s="20">
        <v>18480</v>
      </c>
      <c r="H463" s="24">
        <f t="shared" si="50"/>
        <v>5.4112554112554112E-2</v>
      </c>
      <c r="L463" s="4"/>
      <c r="M463" s="5"/>
      <c r="N463" s="4"/>
      <c r="AB463"/>
      <c r="AC463" s="6"/>
      <c r="AE463" s="7"/>
      <c r="AF463" s="6"/>
      <c r="AI463" s="7"/>
      <c r="AJ463"/>
    </row>
    <row r="464" spans="1:36" ht="15" thickBot="1" x14ac:dyDescent="0.4">
      <c r="A464" s="19">
        <v>7</v>
      </c>
      <c r="B464" s="20">
        <v>302268</v>
      </c>
      <c r="C464" s="21" t="s">
        <v>110</v>
      </c>
      <c r="D464" s="20" t="s">
        <v>28</v>
      </c>
      <c r="E464" s="20">
        <v>1000</v>
      </c>
      <c r="F464" s="23">
        <v>1000</v>
      </c>
      <c r="G464" s="20">
        <v>13020</v>
      </c>
      <c r="H464" s="24">
        <f t="shared" si="50"/>
        <v>7.6804915514592939E-2</v>
      </c>
      <c r="L464" s="4"/>
      <c r="M464" s="5"/>
      <c r="N464" s="4"/>
      <c r="AB464"/>
      <c r="AC464" s="6"/>
      <c r="AE464" s="7"/>
      <c r="AF464" s="6"/>
      <c r="AI464" s="7"/>
      <c r="AJ464"/>
    </row>
    <row r="465" spans="1:36" ht="15" thickBot="1" x14ac:dyDescent="0.4">
      <c r="A465" s="19">
        <v>8</v>
      </c>
      <c r="B465" s="20">
        <v>302269</v>
      </c>
      <c r="C465" s="21" t="s">
        <v>168</v>
      </c>
      <c r="D465" s="20" t="s">
        <v>28</v>
      </c>
      <c r="E465" s="20">
        <v>750</v>
      </c>
      <c r="F465" s="23">
        <v>750</v>
      </c>
      <c r="G465" s="20">
        <v>7800</v>
      </c>
      <c r="H465" s="24">
        <f t="shared" si="50"/>
        <v>9.6153846153846159E-2</v>
      </c>
      <c r="L465" s="4"/>
      <c r="M465" s="5"/>
      <c r="N465" s="4"/>
      <c r="AB465"/>
      <c r="AC465" s="6"/>
      <c r="AE465" s="7"/>
      <c r="AF465" s="6"/>
      <c r="AI465" s="7"/>
      <c r="AJ465"/>
    </row>
    <row r="466" spans="1:36" ht="15" thickBot="1" x14ac:dyDescent="0.4">
      <c r="A466" s="19">
        <v>9</v>
      </c>
      <c r="B466" s="20">
        <v>304570</v>
      </c>
      <c r="C466" s="21" t="s">
        <v>149</v>
      </c>
      <c r="D466" s="20" t="s">
        <v>209</v>
      </c>
      <c r="E466" s="20">
        <v>500</v>
      </c>
      <c r="F466" s="23">
        <v>500</v>
      </c>
      <c r="G466" s="20">
        <v>8960</v>
      </c>
      <c r="H466" s="24">
        <f t="shared" si="50"/>
        <v>5.5803571428571432E-2</v>
      </c>
      <c r="L466" s="4"/>
      <c r="M466" s="5"/>
      <c r="N466" s="4"/>
      <c r="AB466"/>
      <c r="AC466" s="6"/>
      <c r="AE466" s="7"/>
      <c r="AF466" s="6"/>
      <c r="AI466" s="7"/>
      <c r="AJ466"/>
    </row>
    <row r="467" spans="1:36" ht="15" thickBot="1" x14ac:dyDescent="0.4">
      <c r="A467" s="19">
        <v>10</v>
      </c>
      <c r="B467" s="20">
        <v>302586</v>
      </c>
      <c r="C467" s="21" t="s">
        <v>210</v>
      </c>
      <c r="D467" s="20" t="s">
        <v>28</v>
      </c>
      <c r="E467" s="20">
        <v>50</v>
      </c>
      <c r="F467" s="23">
        <v>50</v>
      </c>
      <c r="G467" s="20">
        <v>2592</v>
      </c>
      <c r="H467" s="24">
        <f t="shared" si="50"/>
        <v>1.9290123456790122E-2</v>
      </c>
      <c r="L467" s="4"/>
      <c r="M467" s="5"/>
      <c r="N467" s="4"/>
      <c r="AB467"/>
      <c r="AC467" s="6"/>
      <c r="AE467" s="7"/>
      <c r="AF467" s="6"/>
      <c r="AI467" s="7"/>
      <c r="AJ467"/>
    </row>
    <row r="468" spans="1:36" ht="15" thickBot="1" x14ac:dyDescent="0.4">
      <c r="A468" s="19">
        <v>11</v>
      </c>
      <c r="B468" s="20">
        <v>302587</v>
      </c>
      <c r="C468" s="21" t="s">
        <v>211</v>
      </c>
      <c r="D468" s="20" t="s">
        <v>28</v>
      </c>
      <c r="E468" s="20">
        <v>75</v>
      </c>
      <c r="F468" s="23">
        <v>75</v>
      </c>
      <c r="G468" s="20">
        <v>1904</v>
      </c>
      <c r="H468" s="24">
        <f t="shared" si="50"/>
        <v>3.9390756302521007E-2</v>
      </c>
      <c r="L468" s="4"/>
      <c r="M468" s="5"/>
      <c r="N468" s="4"/>
      <c r="AB468"/>
      <c r="AC468" s="6"/>
      <c r="AE468" s="7"/>
      <c r="AF468" s="6"/>
      <c r="AI468" s="7"/>
      <c r="AJ468"/>
    </row>
    <row r="469" spans="1:36" ht="15" thickBot="1" x14ac:dyDescent="0.4">
      <c r="A469" s="19">
        <v>12</v>
      </c>
      <c r="B469" s="20">
        <v>305939</v>
      </c>
      <c r="C469" s="21" t="s">
        <v>179</v>
      </c>
      <c r="D469" s="20" t="s">
        <v>180</v>
      </c>
      <c r="E469" s="20">
        <v>20</v>
      </c>
      <c r="F469" s="23">
        <v>20</v>
      </c>
      <c r="G469" s="20">
        <v>72</v>
      </c>
      <c r="H469" s="24">
        <f t="shared" si="50"/>
        <v>0.27777777777777779</v>
      </c>
      <c r="L469" s="4"/>
      <c r="M469" s="5"/>
      <c r="N469" s="4"/>
      <c r="AB469"/>
      <c r="AC469" s="6"/>
      <c r="AE469" s="7"/>
      <c r="AF469" s="6"/>
      <c r="AI469" s="7"/>
      <c r="AJ469"/>
    </row>
    <row r="470" spans="1:36" ht="29.5" thickBot="1" x14ac:dyDescent="0.4">
      <c r="A470" s="19">
        <v>13</v>
      </c>
      <c r="B470" s="20">
        <v>306238</v>
      </c>
      <c r="C470" s="21" t="s">
        <v>212</v>
      </c>
      <c r="D470" s="20" t="s">
        <v>28</v>
      </c>
      <c r="E470" s="20">
        <v>75</v>
      </c>
      <c r="F470" s="23">
        <v>75</v>
      </c>
      <c r="G470" s="20">
        <v>624</v>
      </c>
      <c r="H470" s="24">
        <f t="shared" si="50"/>
        <v>0.1201923076923077</v>
      </c>
      <c r="L470" s="4"/>
      <c r="M470" s="5"/>
      <c r="N470" s="4"/>
      <c r="AB470"/>
      <c r="AC470" s="6"/>
      <c r="AE470" s="7"/>
      <c r="AF470" s="6"/>
      <c r="AI470" s="7"/>
      <c r="AJ470"/>
    </row>
    <row r="471" spans="1:36" ht="15" thickBot="1" x14ac:dyDescent="0.4">
      <c r="A471" s="19">
        <v>14</v>
      </c>
      <c r="B471" s="20">
        <v>302559</v>
      </c>
      <c r="C471" s="21" t="s">
        <v>213</v>
      </c>
      <c r="D471" s="20" t="s">
        <v>28</v>
      </c>
      <c r="E471" s="20">
        <v>50</v>
      </c>
      <c r="F471" s="23">
        <v>50</v>
      </c>
      <c r="G471" s="20">
        <v>4032</v>
      </c>
      <c r="H471" s="24">
        <f t="shared" si="50"/>
        <v>1.240079365079365E-2</v>
      </c>
      <c r="L471" s="4"/>
      <c r="M471" s="5"/>
      <c r="N471" s="4"/>
      <c r="AB471"/>
      <c r="AC471" s="6"/>
      <c r="AE471" s="7"/>
      <c r="AF471" s="6"/>
      <c r="AI471" s="7"/>
      <c r="AJ471"/>
    </row>
    <row r="472" spans="1:36" ht="15" thickBot="1" x14ac:dyDescent="0.4">
      <c r="A472" s="38"/>
      <c r="B472" s="39" t="s">
        <v>17</v>
      </c>
      <c r="C472" s="30" t="s">
        <v>18</v>
      </c>
      <c r="D472" s="21"/>
      <c r="E472" s="21"/>
      <c r="F472" s="31"/>
      <c r="G472" s="21"/>
      <c r="H472" s="21"/>
      <c r="L472" s="4"/>
      <c r="M472" s="5"/>
      <c r="N472" s="4"/>
      <c r="AB472"/>
      <c r="AC472" s="6"/>
      <c r="AE472" s="7"/>
      <c r="AF472" s="6"/>
      <c r="AI472" s="7"/>
      <c r="AJ472"/>
    </row>
    <row r="473" spans="1:36" ht="15" thickBot="1" x14ac:dyDescent="0.4">
      <c r="A473" s="54"/>
      <c r="B473" s="29" t="s">
        <v>17</v>
      </c>
      <c r="C473" s="33" t="s">
        <v>19</v>
      </c>
      <c r="D473" s="34"/>
      <c r="E473" s="34"/>
      <c r="F473" s="15"/>
      <c r="G473" s="34"/>
      <c r="H473" s="34"/>
      <c r="L473" s="4"/>
      <c r="M473" s="5"/>
      <c r="N473" s="4"/>
      <c r="AB473"/>
      <c r="AC473" s="6"/>
      <c r="AE473" s="7"/>
      <c r="AF473" s="6"/>
      <c r="AI473" s="7"/>
      <c r="AJ473"/>
    </row>
    <row r="474" spans="1:36" ht="15" thickBot="1" x14ac:dyDescent="0.4">
      <c r="A474" s="35"/>
      <c r="B474" s="35"/>
      <c r="C474" s="43"/>
      <c r="D474" s="35"/>
      <c r="E474" s="35"/>
      <c r="F474" s="44">
        <f>SUM(F458:F473)</f>
        <v>4370</v>
      </c>
      <c r="G474" s="35"/>
      <c r="H474" s="45">
        <f>SUM(H458:H473)</f>
        <v>0.92041693295410187</v>
      </c>
      <c r="L474" s="4"/>
      <c r="M474" s="5"/>
      <c r="N474" s="4"/>
      <c r="AB474"/>
      <c r="AC474" s="6"/>
      <c r="AE474" s="7"/>
      <c r="AF474" s="6"/>
      <c r="AI474" s="7"/>
      <c r="AJ474"/>
    </row>
    <row r="475" spans="1:36" ht="15" thickBot="1" x14ac:dyDescent="0.4">
      <c r="A475" s="77" t="s">
        <v>0</v>
      </c>
      <c r="B475" s="78"/>
      <c r="C475" s="79">
        <v>46218</v>
      </c>
      <c r="D475" s="80"/>
      <c r="E475" s="81" t="s">
        <v>1</v>
      </c>
      <c r="F475" s="82"/>
      <c r="G475" s="41" t="s">
        <v>2</v>
      </c>
      <c r="H475" s="2"/>
      <c r="I475" s="3"/>
    </row>
    <row r="476" spans="1:36" ht="15" thickBot="1" x14ac:dyDescent="0.4">
      <c r="A476" s="83" t="s">
        <v>3</v>
      </c>
      <c r="B476" s="84"/>
      <c r="C476" s="8" t="s">
        <v>214</v>
      </c>
      <c r="D476" s="9"/>
      <c r="E476" s="85" t="s">
        <v>5</v>
      </c>
      <c r="F476" s="86"/>
      <c r="G476" s="10">
        <v>113206</v>
      </c>
      <c r="H476" s="11"/>
      <c r="I476" s="12"/>
    </row>
    <row r="477" spans="1:36" ht="15" thickBot="1" x14ac:dyDescent="0.4">
      <c r="A477" s="13"/>
      <c r="B477" s="14" t="s">
        <v>6</v>
      </c>
      <c r="C477" s="15"/>
      <c r="D477" s="14" t="s">
        <v>7</v>
      </c>
      <c r="E477" s="16" t="s">
        <v>8</v>
      </c>
      <c r="F477" s="17" t="s">
        <v>9</v>
      </c>
      <c r="G477" s="18" t="s">
        <v>10</v>
      </c>
      <c r="H477" s="14" t="s">
        <v>11</v>
      </c>
      <c r="L477" s="4"/>
      <c r="M477" s="5"/>
      <c r="N477" s="4"/>
      <c r="AB477"/>
      <c r="AC477" s="6"/>
      <c r="AE477" s="7"/>
      <c r="AF477" s="6"/>
      <c r="AI477" s="7"/>
      <c r="AJ477"/>
    </row>
    <row r="478" spans="1:36" ht="15" thickBot="1" x14ac:dyDescent="0.4">
      <c r="A478" s="19">
        <v>1</v>
      </c>
      <c r="B478" s="20">
        <v>300940</v>
      </c>
      <c r="C478" s="21" t="s">
        <v>29</v>
      </c>
      <c r="D478" s="20" t="s">
        <v>23</v>
      </c>
      <c r="E478" s="20">
        <v>1000</v>
      </c>
      <c r="F478" s="23">
        <v>1000</v>
      </c>
      <c r="G478" s="20">
        <v>19236</v>
      </c>
      <c r="H478" s="24">
        <f t="shared" ref="H478:H483" si="51">F478/G478</f>
        <v>5.1985859846121855E-2</v>
      </c>
      <c r="L478" s="4"/>
      <c r="M478" s="5"/>
      <c r="N478" s="4"/>
      <c r="AB478"/>
      <c r="AC478" s="6"/>
      <c r="AE478" s="7"/>
      <c r="AF478" s="6"/>
      <c r="AI478" s="7"/>
      <c r="AJ478"/>
    </row>
    <row r="479" spans="1:36" ht="15" thickBot="1" x14ac:dyDescent="0.4">
      <c r="A479" s="19">
        <v>2</v>
      </c>
      <c r="B479" s="20">
        <v>301108</v>
      </c>
      <c r="C479" s="21" t="s">
        <v>31</v>
      </c>
      <c r="D479" s="20" t="s">
        <v>23</v>
      </c>
      <c r="E479" s="20">
        <v>1000</v>
      </c>
      <c r="F479" s="23">
        <v>1000</v>
      </c>
      <c r="G479" s="20">
        <v>6528</v>
      </c>
      <c r="H479" s="24">
        <f t="shared" si="51"/>
        <v>0.15318627450980393</v>
      </c>
      <c r="L479" s="4"/>
      <c r="M479" s="5"/>
      <c r="N479" s="4"/>
      <c r="AB479"/>
      <c r="AC479" s="6"/>
      <c r="AE479" s="7"/>
      <c r="AF479" s="6"/>
      <c r="AI479" s="7"/>
      <c r="AJ479"/>
    </row>
    <row r="480" spans="1:36" ht="15" thickBot="1" x14ac:dyDescent="0.4">
      <c r="A480" s="19">
        <v>3</v>
      </c>
      <c r="B480" s="20">
        <v>301111</v>
      </c>
      <c r="C480" s="21" t="s">
        <v>33</v>
      </c>
      <c r="D480" s="20" t="s">
        <v>23</v>
      </c>
      <c r="E480" s="20">
        <v>2000</v>
      </c>
      <c r="F480" s="23">
        <v>2000</v>
      </c>
      <c r="G480" s="20">
        <v>29808</v>
      </c>
      <c r="H480" s="24">
        <f t="shared" si="51"/>
        <v>6.7096081588835219E-2</v>
      </c>
      <c r="L480" s="4"/>
      <c r="M480" s="5"/>
      <c r="N480" s="4"/>
      <c r="AB480"/>
      <c r="AC480" s="6"/>
      <c r="AE480" s="7"/>
      <c r="AF480" s="6"/>
      <c r="AI480" s="7"/>
      <c r="AJ480"/>
    </row>
    <row r="481" spans="1:36" ht="15" thickBot="1" x14ac:dyDescent="0.4">
      <c r="A481" s="19">
        <v>4</v>
      </c>
      <c r="B481" s="20">
        <v>301112</v>
      </c>
      <c r="C481" s="21" t="s">
        <v>60</v>
      </c>
      <c r="D481" s="20" t="s">
        <v>23</v>
      </c>
      <c r="E481" s="20">
        <v>1000</v>
      </c>
      <c r="F481" s="23">
        <v>1000</v>
      </c>
      <c r="G481" s="20">
        <v>12432</v>
      </c>
      <c r="H481" s="24">
        <f t="shared" si="51"/>
        <v>8.0437580437580439E-2</v>
      </c>
      <c r="L481" s="4"/>
      <c r="M481" s="5"/>
      <c r="N481" s="4"/>
      <c r="AB481"/>
      <c r="AC481" s="6"/>
      <c r="AE481" s="7"/>
      <c r="AF481" s="6"/>
      <c r="AI481" s="7"/>
      <c r="AJ481"/>
    </row>
    <row r="482" spans="1:36" ht="15" thickBot="1" x14ac:dyDescent="0.4">
      <c r="A482" s="19">
        <v>5</v>
      </c>
      <c r="B482" s="20">
        <v>301387</v>
      </c>
      <c r="C482" s="21" t="s">
        <v>215</v>
      </c>
      <c r="D482" s="20" t="s">
        <v>23</v>
      </c>
      <c r="E482" s="20">
        <v>500</v>
      </c>
      <c r="F482" s="23">
        <v>500</v>
      </c>
      <c r="G482" s="20">
        <v>21252</v>
      </c>
      <c r="H482" s="24">
        <f t="shared" si="51"/>
        <v>2.352719744024092E-2</v>
      </c>
      <c r="L482" s="4"/>
      <c r="M482" s="5"/>
      <c r="N482" s="4"/>
      <c r="AB482"/>
      <c r="AC482" s="6"/>
      <c r="AE482" s="7"/>
      <c r="AF482" s="6"/>
      <c r="AI482" s="7"/>
      <c r="AJ482"/>
    </row>
    <row r="483" spans="1:36" ht="15" thickBot="1" x14ac:dyDescent="0.4">
      <c r="A483" s="19">
        <v>6</v>
      </c>
      <c r="B483" s="20">
        <v>302977</v>
      </c>
      <c r="C483" s="21" t="s">
        <v>216</v>
      </c>
      <c r="D483" s="20" t="s">
        <v>23</v>
      </c>
      <c r="E483" s="20">
        <v>100</v>
      </c>
      <c r="F483" s="23">
        <v>100</v>
      </c>
      <c r="G483" s="20">
        <v>1244</v>
      </c>
      <c r="H483" s="24">
        <f t="shared" si="51"/>
        <v>8.0385852090032156E-2</v>
      </c>
      <c r="L483" s="4"/>
      <c r="M483" s="5"/>
      <c r="N483" s="4"/>
      <c r="AB483"/>
      <c r="AC483" s="6"/>
      <c r="AE483" s="7"/>
      <c r="AF483" s="6"/>
      <c r="AI483" s="7"/>
      <c r="AJ483"/>
    </row>
    <row r="484" spans="1:36" ht="15" thickBot="1" x14ac:dyDescent="0.4">
      <c r="A484" s="38"/>
      <c r="B484" s="39" t="s">
        <v>17</v>
      </c>
      <c r="C484" s="30" t="s">
        <v>18</v>
      </c>
      <c r="D484" s="21"/>
      <c r="E484" s="21"/>
      <c r="F484" s="31"/>
      <c r="G484" s="21"/>
      <c r="H484" s="21"/>
      <c r="L484" s="4"/>
      <c r="M484" s="5"/>
      <c r="N484" s="4"/>
      <c r="AB484"/>
      <c r="AC484" s="6"/>
      <c r="AE484" s="7"/>
      <c r="AF484" s="6"/>
      <c r="AI484" s="7"/>
      <c r="AJ484"/>
    </row>
    <row r="485" spans="1:36" ht="15" thickBot="1" x14ac:dyDescent="0.4">
      <c r="A485" s="54"/>
      <c r="B485" s="29" t="s">
        <v>17</v>
      </c>
      <c r="C485" s="33" t="s">
        <v>19</v>
      </c>
      <c r="D485" s="34"/>
      <c r="E485" s="34"/>
      <c r="F485" s="15"/>
      <c r="G485" s="34"/>
      <c r="H485" s="34"/>
      <c r="L485" s="4"/>
      <c r="M485" s="5"/>
      <c r="N485" s="4"/>
      <c r="AB485"/>
      <c r="AC485" s="6"/>
      <c r="AE485" s="7"/>
      <c r="AF485" s="6"/>
      <c r="AI485" s="7"/>
      <c r="AJ485"/>
    </row>
    <row r="486" spans="1:36" ht="15" thickBot="1" x14ac:dyDescent="0.4">
      <c r="A486" s="35"/>
      <c r="B486" s="35"/>
      <c r="C486" s="43"/>
      <c r="D486" s="35"/>
      <c r="E486" s="35"/>
      <c r="F486" s="44">
        <f>SUM(F478:F485)</f>
        <v>5600</v>
      </c>
      <c r="G486" s="35"/>
      <c r="H486" s="45">
        <f>SUM(H478:H485)</f>
        <v>0.45661884591261448</v>
      </c>
      <c r="L486" s="4"/>
      <c r="M486" s="5"/>
      <c r="N486" s="4"/>
      <c r="AB486"/>
      <c r="AC486" s="6"/>
      <c r="AE486" s="7"/>
      <c r="AF486" s="6"/>
      <c r="AI486" s="7"/>
      <c r="AJ486"/>
    </row>
    <row r="487" spans="1:36" ht="15" thickBot="1" x14ac:dyDescent="0.4">
      <c r="A487" s="77" t="s">
        <v>0</v>
      </c>
      <c r="B487" s="78"/>
      <c r="C487" s="79">
        <v>46218</v>
      </c>
      <c r="D487" s="80"/>
      <c r="E487" s="81" t="s">
        <v>1</v>
      </c>
      <c r="F487" s="82"/>
      <c r="G487" s="41" t="s">
        <v>2</v>
      </c>
      <c r="H487" s="2"/>
      <c r="I487" s="3"/>
    </row>
    <row r="488" spans="1:36" ht="15" thickBot="1" x14ac:dyDescent="0.4">
      <c r="A488" s="83" t="s">
        <v>3</v>
      </c>
      <c r="B488" s="84"/>
      <c r="C488" s="8" t="s">
        <v>217</v>
      </c>
      <c r="D488" s="9"/>
      <c r="E488" s="85" t="s">
        <v>5</v>
      </c>
      <c r="F488" s="86"/>
      <c r="G488" s="10">
        <v>113206</v>
      </c>
      <c r="H488" s="11"/>
      <c r="I488" s="12"/>
    </row>
    <row r="489" spans="1:36" ht="15" thickBot="1" x14ac:dyDescent="0.4">
      <c r="A489" s="13"/>
      <c r="B489" s="14" t="s">
        <v>6</v>
      </c>
      <c r="C489" s="15"/>
      <c r="D489" s="14" t="s">
        <v>7</v>
      </c>
      <c r="E489" s="16" t="s">
        <v>8</v>
      </c>
      <c r="F489" s="17" t="s">
        <v>9</v>
      </c>
      <c r="G489" s="18" t="s">
        <v>10</v>
      </c>
      <c r="H489" s="14" t="s">
        <v>11</v>
      </c>
      <c r="L489" s="4"/>
      <c r="M489" s="5"/>
      <c r="N489" s="4"/>
      <c r="AB489"/>
      <c r="AC489" s="6"/>
      <c r="AE489" s="7"/>
      <c r="AF489" s="6"/>
      <c r="AI489" s="7"/>
      <c r="AJ489"/>
    </row>
    <row r="490" spans="1:36" ht="29.5" thickBot="1" x14ac:dyDescent="0.4">
      <c r="A490" s="19">
        <v>1</v>
      </c>
      <c r="B490" s="20">
        <v>800659</v>
      </c>
      <c r="C490" s="21" t="s">
        <v>218</v>
      </c>
      <c r="D490" s="20" t="s">
        <v>23</v>
      </c>
      <c r="E490" s="20">
        <v>1000</v>
      </c>
      <c r="F490" s="23">
        <v>1000</v>
      </c>
      <c r="G490" s="20">
        <v>3366</v>
      </c>
      <c r="H490" s="24">
        <f t="shared" ref="H490" si="52">F490/G490</f>
        <v>0.29708853238265004</v>
      </c>
      <c r="L490" s="4"/>
      <c r="M490" s="5"/>
      <c r="N490" s="4"/>
      <c r="AB490"/>
      <c r="AC490" s="6"/>
      <c r="AE490" s="7"/>
      <c r="AF490" s="6"/>
      <c r="AI490" s="7"/>
      <c r="AJ490"/>
    </row>
    <row r="491" spans="1:36" ht="15" thickBot="1" x14ac:dyDescent="0.4">
      <c r="A491" s="38"/>
      <c r="B491" s="39" t="s">
        <v>17</v>
      </c>
      <c r="C491" s="30" t="s">
        <v>18</v>
      </c>
      <c r="D491" s="21"/>
      <c r="E491" s="21"/>
      <c r="F491" s="31"/>
      <c r="G491" s="21"/>
      <c r="H491" s="21"/>
      <c r="L491" s="4"/>
      <c r="M491" s="5"/>
      <c r="N491" s="4"/>
      <c r="AB491"/>
      <c r="AC491" s="6"/>
      <c r="AE491" s="7"/>
      <c r="AF491" s="6"/>
      <c r="AI491" s="7"/>
      <c r="AJ491"/>
    </row>
    <row r="492" spans="1:36" ht="15" thickBot="1" x14ac:dyDescent="0.4">
      <c r="A492" s="54"/>
      <c r="B492" s="29" t="s">
        <v>17</v>
      </c>
      <c r="C492" s="33" t="s">
        <v>19</v>
      </c>
      <c r="D492" s="34"/>
      <c r="E492" s="34"/>
      <c r="F492" s="15"/>
      <c r="G492" s="34"/>
      <c r="H492" s="34"/>
      <c r="L492" s="4"/>
      <c r="M492" s="5"/>
      <c r="N492" s="4"/>
      <c r="AB492"/>
      <c r="AC492" s="6"/>
      <c r="AE492" s="7"/>
      <c r="AF492" s="6"/>
      <c r="AI492" s="7"/>
      <c r="AJ492"/>
    </row>
    <row r="493" spans="1:36" ht="15" thickBot="1" x14ac:dyDescent="0.4">
      <c r="A493" s="35"/>
      <c r="B493" s="35"/>
      <c r="C493" s="43"/>
      <c r="D493" s="35"/>
      <c r="E493" s="35"/>
      <c r="F493" s="44">
        <v>1000</v>
      </c>
      <c r="G493" s="35"/>
      <c r="H493" s="45">
        <v>0.3</v>
      </c>
      <c r="L493" s="4"/>
      <c r="M493" s="5"/>
      <c r="N493" s="4"/>
      <c r="AB493"/>
      <c r="AC493" s="6"/>
      <c r="AE493" s="7"/>
      <c r="AF493" s="6"/>
      <c r="AI493" s="7"/>
      <c r="AJ493"/>
    </row>
    <row r="494" spans="1:36" ht="15" thickBot="1" x14ac:dyDescent="0.4">
      <c r="A494" s="77" t="s">
        <v>0</v>
      </c>
      <c r="B494" s="78"/>
      <c r="C494" s="90">
        <v>46218</v>
      </c>
      <c r="D494" s="91"/>
      <c r="E494" s="81" t="s">
        <v>1</v>
      </c>
      <c r="F494" s="82"/>
      <c r="G494" s="41" t="s">
        <v>2</v>
      </c>
      <c r="H494" s="2"/>
      <c r="I494" s="3"/>
      <c r="L494" s="4"/>
      <c r="M494" s="5"/>
      <c r="N494" s="4"/>
      <c r="AB494"/>
      <c r="AC494" s="6"/>
      <c r="AE494" s="7"/>
      <c r="AF494" s="6"/>
      <c r="AI494" s="7"/>
      <c r="AJ494"/>
    </row>
    <row r="495" spans="1:36" ht="15" thickBot="1" x14ac:dyDescent="0.4">
      <c r="A495" s="83" t="s">
        <v>3</v>
      </c>
      <c r="B495" s="84"/>
      <c r="C495" s="8" t="s">
        <v>219</v>
      </c>
      <c r="D495" s="9"/>
      <c r="E495" s="85" t="s">
        <v>5</v>
      </c>
      <c r="F495" s="86"/>
      <c r="G495" s="10">
        <v>113206</v>
      </c>
      <c r="H495" s="11"/>
      <c r="I495" s="12"/>
      <c r="L495" s="4"/>
      <c r="M495" s="5"/>
      <c r="N495" s="4"/>
      <c r="AB495"/>
      <c r="AC495" s="6"/>
      <c r="AE495" s="7"/>
      <c r="AF495" s="6"/>
      <c r="AI495" s="7"/>
      <c r="AJ495"/>
    </row>
    <row r="496" spans="1:36" ht="15" thickBot="1" x14ac:dyDescent="0.4">
      <c r="A496" s="13"/>
      <c r="B496" s="14" t="s">
        <v>6</v>
      </c>
      <c r="C496" s="15"/>
      <c r="D496" s="14" t="s">
        <v>7</v>
      </c>
      <c r="E496" s="16" t="s">
        <v>8</v>
      </c>
      <c r="F496" s="17" t="s">
        <v>9</v>
      </c>
      <c r="G496" s="18" t="s">
        <v>10</v>
      </c>
      <c r="H496" s="14" t="s">
        <v>11</v>
      </c>
      <c r="K496" s="4"/>
      <c r="L496" s="5"/>
      <c r="N496" s="4"/>
      <c r="AA496"/>
      <c r="AB496" s="6"/>
      <c r="AC496" s="6"/>
      <c r="AD496" s="7"/>
      <c r="AF496" s="6"/>
      <c r="AH496" s="7"/>
      <c r="AI496"/>
      <c r="AJ496"/>
    </row>
    <row r="497" spans="1:36" ht="15" thickBot="1" x14ac:dyDescent="0.4">
      <c r="A497" s="19">
        <v>1</v>
      </c>
      <c r="B497" s="20">
        <v>306677</v>
      </c>
      <c r="C497" s="21" t="s">
        <v>220</v>
      </c>
      <c r="D497" s="20" t="s">
        <v>23</v>
      </c>
      <c r="E497" s="20">
        <v>75</v>
      </c>
      <c r="F497" s="23">
        <v>75</v>
      </c>
      <c r="G497" s="20">
        <v>1632</v>
      </c>
      <c r="H497" s="24">
        <f t="shared" ref="H497:H505" si="53">F497/G497</f>
        <v>4.595588235294118E-2</v>
      </c>
      <c r="K497" s="4"/>
      <c r="L497" s="5"/>
      <c r="N497" s="4"/>
      <c r="AA497"/>
      <c r="AB497" s="6"/>
      <c r="AC497" s="6"/>
      <c r="AD497" s="7"/>
      <c r="AF497" s="6"/>
      <c r="AH497" s="7"/>
      <c r="AI497"/>
      <c r="AJ497"/>
    </row>
    <row r="498" spans="1:36" ht="15" thickBot="1" x14ac:dyDescent="0.4">
      <c r="A498" s="19">
        <v>2</v>
      </c>
      <c r="B498" s="20">
        <v>306678</v>
      </c>
      <c r="C498" s="21" t="s">
        <v>221</v>
      </c>
      <c r="D498" s="20" t="s">
        <v>23</v>
      </c>
      <c r="E498" s="20">
        <v>50</v>
      </c>
      <c r="F498" s="23">
        <v>50</v>
      </c>
      <c r="G498" s="20">
        <v>780</v>
      </c>
      <c r="H498" s="24">
        <f t="shared" si="53"/>
        <v>6.4102564102564097E-2</v>
      </c>
      <c r="K498" s="4"/>
      <c r="L498" s="5"/>
      <c r="N498" s="4"/>
      <c r="AA498"/>
      <c r="AB498" s="6"/>
      <c r="AC498" s="6"/>
      <c r="AD498" s="7"/>
      <c r="AF498" s="6"/>
      <c r="AH498" s="7"/>
      <c r="AI498"/>
      <c r="AJ498"/>
    </row>
    <row r="499" spans="1:36" ht="15" thickBot="1" x14ac:dyDescent="0.4">
      <c r="A499" s="19">
        <v>3</v>
      </c>
      <c r="B499" s="20">
        <v>306651</v>
      </c>
      <c r="C499" s="21" t="s">
        <v>222</v>
      </c>
      <c r="D499" s="20" t="s">
        <v>23</v>
      </c>
      <c r="E499" s="20">
        <v>750</v>
      </c>
      <c r="F499" s="23">
        <v>750</v>
      </c>
      <c r="G499" s="20">
        <v>31200</v>
      </c>
      <c r="H499" s="24">
        <f t="shared" si="53"/>
        <v>2.403846153846154E-2</v>
      </c>
      <c r="K499" s="4"/>
      <c r="L499" s="5"/>
      <c r="N499" s="4"/>
      <c r="AA499"/>
      <c r="AB499" s="6"/>
      <c r="AC499" s="6"/>
      <c r="AD499" s="7"/>
      <c r="AF499" s="6"/>
      <c r="AH499" s="7"/>
      <c r="AI499"/>
      <c r="AJ499"/>
    </row>
    <row r="500" spans="1:36" ht="15" thickBot="1" x14ac:dyDescent="0.4">
      <c r="A500" s="19">
        <v>4</v>
      </c>
      <c r="B500" s="20">
        <v>306652</v>
      </c>
      <c r="C500" s="21" t="s">
        <v>223</v>
      </c>
      <c r="D500" s="20" t="s">
        <v>23</v>
      </c>
      <c r="E500" s="20">
        <v>750</v>
      </c>
      <c r="F500" s="23">
        <v>750</v>
      </c>
      <c r="G500" s="20">
        <v>21360</v>
      </c>
      <c r="H500" s="24">
        <f t="shared" si="53"/>
        <v>3.51123595505618E-2</v>
      </c>
      <c r="K500" s="4"/>
      <c r="L500" s="5"/>
      <c r="N500" s="4"/>
      <c r="AA500"/>
      <c r="AB500" s="6"/>
      <c r="AC500" s="6"/>
      <c r="AD500" s="7"/>
      <c r="AF500" s="6"/>
      <c r="AH500" s="7"/>
      <c r="AI500"/>
      <c r="AJ500"/>
    </row>
    <row r="501" spans="1:36" ht="15" thickBot="1" x14ac:dyDescent="0.4">
      <c r="A501" s="19">
        <v>5</v>
      </c>
      <c r="B501" s="20">
        <v>306653</v>
      </c>
      <c r="C501" s="21" t="s">
        <v>224</v>
      </c>
      <c r="D501" s="20" t="s">
        <v>23</v>
      </c>
      <c r="E501" s="20">
        <v>750</v>
      </c>
      <c r="F501" s="23">
        <v>750</v>
      </c>
      <c r="G501" s="20">
        <v>13080</v>
      </c>
      <c r="H501" s="24">
        <f t="shared" si="53"/>
        <v>5.7339449541284407E-2</v>
      </c>
      <c r="K501" s="4"/>
      <c r="L501" s="5"/>
      <c r="N501" s="4"/>
      <c r="AA501"/>
      <c r="AB501" s="6"/>
      <c r="AC501" s="6"/>
      <c r="AD501" s="7"/>
      <c r="AF501" s="6"/>
      <c r="AH501" s="7"/>
      <c r="AI501"/>
      <c r="AJ501"/>
    </row>
    <row r="502" spans="1:36" ht="15" thickBot="1" x14ac:dyDescent="0.4">
      <c r="A502" s="19">
        <v>6</v>
      </c>
      <c r="B502" s="20">
        <v>306654</v>
      </c>
      <c r="C502" s="21" t="s">
        <v>225</v>
      </c>
      <c r="D502" s="20" t="s">
        <v>23</v>
      </c>
      <c r="E502" s="20">
        <v>750</v>
      </c>
      <c r="F502" s="23">
        <v>750</v>
      </c>
      <c r="G502" s="20">
        <v>9000</v>
      </c>
      <c r="H502" s="24">
        <f t="shared" si="53"/>
        <v>8.3333333333333329E-2</v>
      </c>
      <c r="K502" s="4"/>
      <c r="L502" s="5"/>
      <c r="N502" s="4"/>
      <c r="AA502"/>
      <c r="AB502" s="6"/>
      <c r="AC502" s="6"/>
      <c r="AD502" s="7"/>
      <c r="AF502" s="6"/>
      <c r="AH502" s="7"/>
      <c r="AI502"/>
      <c r="AJ502"/>
    </row>
    <row r="503" spans="1:36" ht="15" thickBot="1" x14ac:dyDescent="0.4">
      <c r="A503" s="19">
        <v>7</v>
      </c>
      <c r="B503" s="20">
        <v>306655</v>
      </c>
      <c r="C503" s="21" t="s">
        <v>226</v>
      </c>
      <c r="D503" s="20" t="s">
        <v>23</v>
      </c>
      <c r="E503" s="20">
        <v>75</v>
      </c>
      <c r="F503" s="23">
        <v>75</v>
      </c>
      <c r="G503" s="52"/>
      <c r="H503" s="24"/>
      <c r="K503" s="4"/>
      <c r="L503" s="5"/>
      <c r="N503" s="4"/>
      <c r="AA503"/>
      <c r="AB503" s="6"/>
      <c r="AC503" s="6"/>
      <c r="AD503" s="7"/>
      <c r="AF503" s="6"/>
      <c r="AH503" s="7"/>
      <c r="AI503"/>
      <c r="AJ503"/>
    </row>
    <row r="504" spans="1:36" ht="15" thickBot="1" x14ac:dyDescent="0.4">
      <c r="A504" s="19">
        <v>8</v>
      </c>
      <c r="B504" s="20">
        <v>306656</v>
      </c>
      <c r="C504" s="21" t="s">
        <v>227</v>
      </c>
      <c r="D504" s="20" t="s">
        <v>23</v>
      </c>
      <c r="E504" s="20">
        <v>75</v>
      </c>
      <c r="F504" s="23">
        <v>75</v>
      </c>
      <c r="G504" s="20">
        <v>1428</v>
      </c>
      <c r="H504" s="24">
        <f t="shared" si="53"/>
        <v>5.2521008403361345E-2</v>
      </c>
      <c r="K504" s="4"/>
      <c r="L504" s="5"/>
      <c r="N504" s="4"/>
      <c r="AA504"/>
      <c r="AB504" s="6"/>
      <c r="AC504" s="6"/>
      <c r="AD504" s="7"/>
      <c r="AF504" s="6"/>
      <c r="AH504" s="7"/>
      <c r="AI504"/>
      <c r="AJ504"/>
    </row>
    <row r="505" spans="1:36" ht="29.5" thickBot="1" x14ac:dyDescent="0.4">
      <c r="A505" s="19">
        <v>9</v>
      </c>
      <c r="B505" s="20">
        <v>306657</v>
      </c>
      <c r="C505" s="21" t="s">
        <v>228</v>
      </c>
      <c r="D505" s="20" t="s">
        <v>23</v>
      </c>
      <c r="E505" s="20">
        <v>275</v>
      </c>
      <c r="F505" s="23">
        <v>275</v>
      </c>
      <c r="G505" s="20">
        <v>1344</v>
      </c>
      <c r="H505" s="24">
        <f t="shared" si="53"/>
        <v>0.20461309523809523</v>
      </c>
      <c r="K505" s="4"/>
      <c r="L505" s="5"/>
      <c r="N505" s="4"/>
      <c r="AA505"/>
      <c r="AB505" s="6"/>
      <c r="AC505" s="6"/>
      <c r="AD505" s="7"/>
      <c r="AF505" s="6"/>
      <c r="AH505" s="7"/>
      <c r="AI505"/>
      <c r="AJ505"/>
    </row>
    <row r="506" spans="1:36" ht="15" thickBot="1" x14ac:dyDescent="0.4">
      <c r="A506" s="38"/>
      <c r="B506" s="39" t="s">
        <v>17</v>
      </c>
      <c r="C506" s="30" t="s">
        <v>18</v>
      </c>
      <c r="D506" s="21"/>
      <c r="E506" s="21"/>
      <c r="F506" s="31"/>
      <c r="G506" s="21"/>
      <c r="H506" s="21"/>
      <c r="K506" s="4"/>
      <c r="L506" s="5"/>
      <c r="N506" s="4"/>
      <c r="AA506"/>
      <c r="AB506" s="6"/>
      <c r="AC506" s="6"/>
      <c r="AD506" s="7"/>
      <c r="AF506" s="6"/>
      <c r="AH506" s="7"/>
      <c r="AI506"/>
      <c r="AJ506"/>
    </row>
    <row r="507" spans="1:36" ht="15" thickBot="1" x14ac:dyDescent="0.4">
      <c r="A507" s="54"/>
      <c r="B507" s="29" t="s">
        <v>17</v>
      </c>
      <c r="C507" s="33" t="s">
        <v>19</v>
      </c>
      <c r="D507" s="34"/>
      <c r="E507" s="34"/>
      <c r="F507" s="15"/>
      <c r="G507" s="34"/>
      <c r="H507" s="34"/>
      <c r="K507" s="4"/>
      <c r="L507" s="5"/>
      <c r="N507" s="4"/>
      <c r="AA507"/>
      <c r="AB507" s="6"/>
      <c r="AC507" s="6"/>
      <c r="AD507" s="7"/>
      <c r="AF507" s="6"/>
      <c r="AH507" s="7"/>
      <c r="AI507"/>
      <c r="AJ507"/>
    </row>
    <row r="508" spans="1:36" ht="15" thickBot="1" x14ac:dyDescent="0.4">
      <c r="A508" s="35"/>
      <c r="B508" s="35"/>
      <c r="C508" s="43"/>
      <c r="D508" s="35"/>
      <c r="E508" s="35"/>
      <c r="F508" s="44">
        <f>SUM(F497:F507)</f>
        <v>3550</v>
      </c>
      <c r="G508" s="35"/>
      <c r="H508" s="45">
        <f>SUM(H497:H507)</f>
        <v>0.56701615406060291</v>
      </c>
      <c r="K508" s="4"/>
      <c r="L508" s="5"/>
      <c r="N508" s="4"/>
      <c r="AA508"/>
      <c r="AB508" s="6"/>
      <c r="AC508" s="6"/>
      <c r="AD508" s="7"/>
      <c r="AF508" s="6"/>
      <c r="AH508" s="7"/>
      <c r="AI508"/>
      <c r="AJ508"/>
    </row>
    <row r="509" spans="1:36" ht="15" thickBot="1" x14ac:dyDescent="0.4">
      <c r="A509" s="77" t="s">
        <v>0</v>
      </c>
      <c r="B509" s="78"/>
      <c r="C509" s="79">
        <v>46218</v>
      </c>
      <c r="D509" s="80"/>
      <c r="E509" s="81" t="s">
        <v>1</v>
      </c>
      <c r="F509" s="82"/>
      <c r="G509" s="41" t="s">
        <v>2</v>
      </c>
      <c r="H509" s="2"/>
      <c r="I509" s="3"/>
      <c r="L509" s="4"/>
      <c r="M509" s="5"/>
      <c r="N509" s="4"/>
      <c r="AB509"/>
      <c r="AC509" s="6"/>
      <c r="AE509" s="7"/>
      <c r="AF509" s="6"/>
      <c r="AI509" s="7"/>
      <c r="AJ509"/>
    </row>
    <row r="510" spans="1:36" ht="15" thickBot="1" x14ac:dyDescent="0.4">
      <c r="A510" s="83" t="s">
        <v>3</v>
      </c>
      <c r="B510" s="84"/>
      <c r="C510" s="8" t="s">
        <v>229</v>
      </c>
      <c r="D510" s="9"/>
      <c r="E510" s="85" t="s">
        <v>5</v>
      </c>
      <c r="F510" s="86"/>
      <c r="G510" s="10">
        <v>113206</v>
      </c>
      <c r="H510" s="11"/>
      <c r="I510" s="12"/>
      <c r="L510" s="4"/>
      <c r="M510" s="5"/>
      <c r="N510" s="4"/>
      <c r="AB510"/>
      <c r="AC510" s="6"/>
      <c r="AE510" s="7"/>
      <c r="AF510" s="6"/>
      <c r="AI510" s="7"/>
      <c r="AJ510"/>
    </row>
    <row r="511" spans="1:36" ht="15" thickBot="1" x14ac:dyDescent="0.4">
      <c r="A511" s="13"/>
      <c r="B511" s="14" t="s">
        <v>6</v>
      </c>
      <c r="C511" s="15"/>
      <c r="D511" s="14" t="s">
        <v>7</v>
      </c>
      <c r="E511" s="16" t="s">
        <v>8</v>
      </c>
      <c r="F511" s="17" t="s">
        <v>9</v>
      </c>
      <c r="G511" s="18" t="s">
        <v>10</v>
      </c>
      <c r="H511" s="14" t="s">
        <v>11</v>
      </c>
      <c r="K511" s="4"/>
      <c r="L511" s="5"/>
      <c r="N511" s="4"/>
      <c r="AA511"/>
      <c r="AB511" s="6"/>
      <c r="AC511" s="6"/>
      <c r="AD511" s="7"/>
      <c r="AF511" s="6"/>
      <c r="AH511" s="7"/>
      <c r="AI511"/>
      <c r="AJ511"/>
    </row>
    <row r="512" spans="1:36" ht="15" thickBot="1" x14ac:dyDescent="0.4">
      <c r="A512" s="19">
        <v>1</v>
      </c>
      <c r="B512" s="20">
        <v>305535</v>
      </c>
      <c r="C512" s="21" t="s">
        <v>51</v>
      </c>
      <c r="D512" s="20" t="s">
        <v>23</v>
      </c>
      <c r="E512" s="20">
        <v>30</v>
      </c>
      <c r="F512" s="23">
        <v>30</v>
      </c>
      <c r="G512" s="20">
        <v>642</v>
      </c>
      <c r="H512" s="24">
        <f t="shared" ref="H512" si="54">F512/G512</f>
        <v>4.6728971962616821E-2</v>
      </c>
      <c r="K512" s="4"/>
      <c r="L512" s="5"/>
      <c r="N512" s="4"/>
      <c r="AA512"/>
      <c r="AB512" s="6"/>
      <c r="AC512" s="6"/>
      <c r="AD512" s="7"/>
      <c r="AF512" s="6"/>
      <c r="AH512" s="7"/>
      <c r="AI512"/>
      <c r="AJ512"/>
    </row>
    <row r="513" spans="1:36" ht="15" thickBot="1" x14ac:dyDescent="0.4">
      <c r="A513" s="38"/>
      <c r="B513" s="39" t="s">
        <v>17</v>
      </c>
      <c r="C513" s="30" t="s">
        <v>18</v>
      </c>
      <c r="D513" s="21"/>
      <c r="E513" s="21"/>
      <c r="F513" s="31"/>
      <c r="G513" s="21"/>
      <c r="H513" s="21"/>
      <c r="K513" s="4"/>
      <c r="L513" s="5"/>
      <c r="N513" s="4"/>
      <c r="AA513"/>
      <c r="AB513" s="6"/>
      <c r="AC513" s="6"/>
      <c r="AD513" s="7"/>
      <c r="AF513" s="6"/>
      <c r="AH513" s="7"/>
      <c r="AI513"/>
      <c r="AJ513"/>
    </row>
    <row r="514" spans="1:36" ht="15" thickBot="1" x14ac:dyDescent="0.4">
      <c r="A514" s="38"/>
      <c r="B514" s="39" t="s">
        <v>17</v>
      </c>
      <c r="C514" s="30" t="s">
        <v>80</v>
      </c>
      <c r="D514" s="21"/>
      <c r="E514" s="21"/>
      <c r="F514" s="31"/>
      <c r="G514" s="21"/>
      <c r="H514" s="21"/>
      <c r="K514" s="4"/>
      <c r="L514" s="5"/>
      <c r="N514" s="4"/>
      <c r="AA514"/>
      <c r="AB514" s="6"/>
      <c r="AC514" s="6"/>
      <c r="AD514" s="7"/>
      <c r="AF514" s="6"/>
      <c r="AH514" s="7"/>
      <c r="AI514"/>
      <c r="AJ514"/>
    </row>
    <row r="515" spans="1:36" ht="15" thickBot="1" x14ac:dyDescent="0.4">
      <c r="A515" s="54"/>
      <c r="B515" s="29" t="s">
        <v>17</v>
      </c>
      <c r="C515" s="33" t="s">
        <v>19</v>
      </c>
      <c r="D515" s="34"/>
      <c r="E515" s="34"/>
      <c r="F515" s="15"/>
      <c r="G515" s="34"/>
      <c r="H515" s="34"/>
      <c r="K515" s="4"/>
      <c r="L515" s="5"/>
      <c r="N515" s="4"/>
      <c r="AA515"/>
      <c r="AB515" s="6"/>
      <c r="AC515" s="6"/>
      <c r="AD515" s="7"/>
      <c r="AF515" s="6"/>
      <c r="AH515" s="7"/>
      <c r="AI515"/>
      <c r="AJ515"/>
    </row>
    <row r="516" spans="1:36" ht="15" thickBot="1" x14ac:dyDescent="0.4">
      <c r="A516" s="35"/>
      <c r="B516" s="35"/>
      <c r="C516" s="43"/>
      <c r="D516" s="35"/>
      <c r="E516" s="35"/>
      <c r="F516" s="44">
        <f>SUM(F512:F515)</f>
        <v>30</v>
      </c>
      <c r="G516" s="35"/>
      <c r="H516" s="45">
        <f>SUM(H512:H515)</f>
        <v>4.6728971962616821E-2</v>
      </c>
      <c r="K516" s="4"/>
      <c r="L516" s="5"/>
      <c r="N516" s="4"/>
      <c r="AA516"/>
      <c r="AB516" s="6"/>
      <c r="AC516" s="6"/>
      <c r="AD516" s="7"/>
      <c r="AF516" s="6"/>
      <c r="AH516" s="7"/>
      <c r="AI516"/>
      <c r="AJ516"/>
    </row>
    <row r="517" spans="1:36" ht="15" thickBot="1" x14ac:dyDescent="0.4">
      <c r="A517" s="77" t="s">
        <v>0</v>
      </c>
      <c r="B517" s="78"/>
      <c r="C517" s="79">
        <v>46218</v>
      </c>
      <c r="D517" s="80"/>
      <c r="E517" s="81" t="s">
        <v>1</v>
      </c>
      <c r="F517" s="82"/>
      <c r="G517" s="41" t="s">
        <v>2</v>
      </c>
      <c r="H517" s="2"/>
      <c r="I517" s="3"/>
      <c r="L517" s="4"/>
      <c r="M517" s="5"/>
      <c r="N517" s="4"/>
      <c r="AB517"/>
      <c r="AC517" s="6"/>
      <c r="AE517" s="7"/>
      <c r="AF517" s="6"/>
      <c r="AI517" s="7"/>
      <c r="AJ517"/>
    </row>
    <row r="518" spans="1:36" ht="15" thickBot="1" x14ac:dyDescent="0.4">
      <c r="A518" s="83" t="s">
        <v>3</v>
      </c>
      <c r="B518" s="84"/>
      <c r="C518" s="8" t="s">
        <v>230</v>
      </c>
      <c r="D518" s="9"/>
      <c r="E518" s="85" t="s">
        <v>5</v>
      </c>
      <c r="F518" s="86"/>
      <c r="G518" s="10">
        <v>113206</v>
      </c>
      <c r="H518" s="11"/>
      <c r="I518" s="12"/>
      <c r="L518" s="4"/>
      <c r="M518" s="5"/>
      <c r="N518" s="4"/>
      <c r="AB518"/>
      <c r="AC518" s="6"/>
      <c r="AE518" s="7"/>
      <c r="AF518" s="6"/>
      <c r="AI518" s="7"/>
      <c r="AJ518"/>
    </row>
    <row r="519" spans="1:36" ht="15" thickBot="1" x14ac:dyDescent="0.4">
      <c r="A519" s="13"/>
      <c r="B519" s="14" t="s">
        <v>6</v>
      </c>
      <c r="C519" s="15"/>
      <c r="D519" s="14" t="s">
        <v>7</v>
      </c>
      <c r="E519" s="16" t="s">
        <v>8</v>
      </c>
      <c r="F519" s="17" t="s">
        <v>9</v>
      </c>
      <c r="G519" s="18" t="s">
        <v>10</v>
      </c>
      <c r="H519" s="14" t="s">
        <v>11</v>
      </c>
      <c r="K519" s="4"/>
      <c r="L519" s="5"/>
      <c r="N519" s="4"/>
      <c r="AA519"/>
      <c r="AB519" s="6"/>
      <c r="AC519" s="6"/>
      <c r="AD519" s="7"/>
      <c r="AF519" s="6"/>
      <c r="AH519" s="7"/>
      <c r="AI519"/>
      <c r="AJ519"/>
    </row>
    <row r="520" spans="1:36" ht="29.5" thickBot="1" x14ac:dyDescent="0.4">
      <c r="A520" s="19">
        <v>1</v>
      </c>
      <c r="B520" s="20">
        <v>305381</v>
      </c>
      <c r="C520" s="21" t="s">
        <v>231</v>
      </c>
      <c r="D520" s="20" t="s">
        <v>23</v>
      </c>
      <c r="E520" s="20">
        <v>50</v>
      </c>
      <c r="F520" s="23">
        <v>50</v>
      </c>
      <c r="G520" s="20">
        <v>566</v>
      </c>
      <c r="H520" s="24">
        <f t="shared" ref="H520:H521" si="55">F520/G520</f>
        <v>8.8339222614840993E-2</v>
      </c>
      <c r="K520" s="4"/>
      <c r="L520" s="5"/>
      <c r="N520" s="4"/>
      <c r="AA520"/>
      <c r="AB520" s="6"/>
      <c r="AC520" s="6"/>
      <c r="AD520" s="7"/>
      <c r="AF520" s="6"/>
      <c r="AH520" s="7"/>
      <c r="AI520"/>
      <c r="AJ520"/>
    </row>
    <row r="521" spans="1:36" ht="29.5" thickBot="1" x14ac:dyDescent="0.4">
      <c r="A521" s="19">
        <v>2</v>
      </c>
      <c r="B521" s="20">
        <v>305535</v>
      </c>
      <c r="C521" s="21" t="s">
        <v>232</v>
      </c>
      <c r="D521" s="20" t="s">
        <v>52</v>
      </c>
      <c r="E521" s="20">
        <v>20</v>
      </c>
      <c r="F521" s="23">
        <v>20</v>
      </c>
      <c r="G521" s="20">
        <v>642</v>
      </c>
      <c r="H521" s="24">
        <f t="shared" si="55"/>
        <v>3.1152647975077882E-2</v>
      </c>
      <c r="K521" s="4"/>
      <c r="L521" s="5"/>
      <c r="N521" s="4"/>
      <c r="AA521"/>
      <c r="AB521" s="6"/>
      <c r="AC521" s="6"/>
      <c r="AD521" s="7"/>
      <c r="AF521" s="6"/>
      <c r="AH521" s="7"/>
      <c r="AI521"/>
      <c r="AJ521"/>
    </row>
    <row r="522" spans="1:36" ht="15" thickBot="1" x14ac:dyDescent="0.4">
      <c r="A522" s="38"/>
      <c r="B522" s="39" t="s">
        <v>17</v>
      </c>
      <c r="C522" s="30" t="s">
        <v>18</v>
      </c>
      <c r="D522" s="21"/>
      <c r="E522" s="21"/>
      <c r="F522" s="31"/>
      <c r="G522" s="21"/>
      <c r="H522" s="21"/>
      <c r="K522" s="4"/>
      <c r="L522" s="5"/>
      <c r="N522" s="4"/>
      <c r="AA522"/>
      <c r="AB522" s="6"/>
      <c r="AC522" s="6"/>
      <c r="AD522" s="7"/>
      <c r="AF522" s="6"/>
      <c r="AH522" s="7"/>
      <c r="AI522"/>
      <c r="AJ522"/>
    </row>
    <row r="523" spans="1:36" ht="15" thickBot="1" x14ac:dyDescent="0.4">
      <c r="A523" s="54"/>
      <c r="B523" s="29" t="s">
        <v>17</v>
      </c>
      <c r="C523" s="33" t="s">
        <v>19</v>
      </c>
      <c r="D523" s="34"/>
      <c r="E523" s="34"/>
      <c r="F523" s="15"/>
      <c r="G523" s="34"/>
      <c r="H523" s="34"/>
      <c r="K523" s="4"/>
      <c r="L523" s="5"/>
      <c r="N523" s="4"/>
      <c r="AA523"/>
      <c r="AB523" s="6"/>
      <c r="AC523" s="6"/>
      <c r="AD523" s="7"/>
      <c r="AF523" s="6"/>
      <c r="AH523" s="7"/>
      <c r="AI523"/>
      <c r="AJ523"/>
    </row>
    <row r="524" spans="1:36" ht="15" thickBot="1" x14ac:dyDescent="0.4">
      <c r="A524" s="35"/>
      <c r="B524" s="35"/>
      <c r="C524" s="43"/>
      <c r="D524" s="35"/>
      <c r="E524" s="35"/>
      <c r="F524" s="44">
        <f>SUM(F520:F523)</f>
        <v>70</v>
      </c>
      <c r="G524" s="35"/>
      <c r="H524" s="45">
        <f>SUM(H520:H523)</f>
        <v>0.11949187058991888</v>
      </c>
      <c r="K524" s="4"/>
      <c r="L524" s="5"/>
      <c r="N524" s="4"/>
      <c r="AA524"/>
      <c r="AB524" s="6"/>
      <c r="AC524" s="6"/>
      <c r="AD524" s="7"/>
      <c r="AF524" s="6"/>
      <c r="AH524" s="7"/>
      <c r="AI524"/>
      <c r="AJ524"/>
    </row>
    <row r="525" spans="1:36" ht="15" thickBot="1" x14ac:dyDescent="0.4">
      <c r="A525" s="77" t="s">
        <v>0</v>
      </c>
      <c r="B525" s="78"/>
      <c r="C525" s="79">
        <v>46218</v>
      </c>
      <c r="D525" s="80"/>
      <c r="E525" s="81" t="s">
        <v>1</v>
      </c>
      <c r="F525" s="82"/>
      <c r="G525" s="41" t="s">
        <v>2</v>
      </c>
      <c r="H525" s="2"/>
      <c r="I525" s="3"/>
      <c r="L525" s="4"/>
      <c r="M525" s="5"/>
      <c r="N525" s="4"/>
      <c r="AB525"/>
      <c r="AC525" s="6"/>
      <c r="AE525" s="7"/>
      <c r="AF525" s="6"/>
      <c r="AI525" s="7"/>
      <c r="AJ525"/>
    </row>
    <row r="526" spans="1:36" ht="15" thickBot="1" x14ac:dyDescent="0.4">
      <c r="A526" s="83" t="s">
        <v>3</v>
      </c>
      <c r="B526" s="84"/>
      <c r="C526" s="8" t="s">
        <v>233</v>
      </c>
      <c r="D526" s="9"/>
      <c r="E526" s="85" t="s">
        <v>5</v>
      </c>
      <c r="F526" s="86"/>
      <c r="G526" s="10">
        <v>113206</v>
      </c>
      <c r="H526" s="11"/>
      <c r="I526" s="12"/>
      <c r="L526" s="4"/>
      <c r="M526" s="5"/>
      <c r="N526" s="4"/>
      <c r="AB526"/>
      <c r="AC526" s="6"/>
      <c r="AE526" s="7"/>
      <c r="AF526" s="6"/>
      <c r="AI526" s="7"/>
      <c r="AJ526"/>
    </row>
    <row r="527" spans="1:36" ht="15" thickBot="1" x14ac:dyDescent="0.4">
      <c r="A527" s="13"/>
      <c r="B527" s="14" t="s">
        <v>6</v>
      </c>
      <c r="C527" s="15"/>
      <c r="D527" s="14" t="s">
        <v>7</v>
      </c>
      <c r="E527" s="16" t="s">
        <v>8</v>
      </c>
      <c r="F527" s="17" t="s">
        <v>9</v>
      </c>
      <c r="G527" s="18" t="s">
        <v>10</v>
      </c>
      <c r="H527" s="14" t="s">
        <v>11</v>
      </c>
      <c r="K527" s="4"/>
      <c r="L527" s="5"/>
      <c r="N527" s="4"/>
      <c r="AA527"/>
      <c r="AB527" s="6"/>
      <c r="AC527" s="6"/>
      <c r="AD527" s="7"/>
      <c r="AF527" s="6"/>
      <c r="AH527" s="7"/>
      <c r="AI527"/>
      <c r="AJ527"/>
    </row>
    <row r="528" spans="1:36" ht="29.5" thickBot="1" x14ac:dyDescent="0.4">
      <c r="A528" s="19">
        <v>1</v>
      </c>
      <c r="B528" s="20">
        <v>305644</v>
      </c>
      <c r="C528" s="21" t="s">
        <v>234</v>
      </c>
      <c r="D528" s="20" t="s">
        <v>23</v>
      </c>
      <c r="E528" s="20">
        <v>100</v>
      </c>
      <c r="F528" s="23">
        <v>100</v>
      </c>
      <c r="G528" s="20">
        <v>588</v>
      </c>
      <c r="H528" s="24">
        <f t="shared" ref="H528" si="56">F528/G528</f>
        <v>0.17006802721088435</v>
      </c>
      <c r="K528" s="4"/>
      <c r="L528" s="5"/>
      <c r="N528" s="4"/>
      <c r="AA528"/>
      <c r="AB528" s="6"/>
      <c r="AC528" s="6"/>
      <c r="AD528" s="7"/>
      <c r="AF528" s="6"/>
      <c r="AH528" s="7"/>
      <c r="AI528"/>
      <c r="AJ528"/>
    </row>
    <row r="529" spans="1:36" ht="15" thickBot="1" x14ac:dyDescent="0.4">
      <c r="A529" s="38"/>
      <c r="B529" s="39" t="s">
        <v>17</v>
      </c>
      <c r="C529" s="30" t="s">
        <v>18</v>
      </c>
      <c r="D529" s="21"/>
      <c r="E529" s="21"/>
      <c r="F529" s="31"/>
      <c r="G529" s="21"/>
      <c r="H529" s="21"/>
      <c r="K529" s="4"/>
      <c r="L529" s="5"/>
      <c r="N529" s="4"/>
      <c r="AA529"/>
      <c r="AB529" s="6"/>
      <c r="AC529" s="6"/>
      <c r="AD529" s="7"/>
      <c r="AF529" s="6"/>
      <c r="AH529" s="7"/>
      <c r="AI529"/>
      <c r="AJ529"/>
    </row>
    <row r="530" spans="1:36" ht="15" thickBot="1" x14ac:dyDescent="0.4">
      <c r="A530" s="54"/>
      <c r="B530" s="29" t="s">
        <v>17</v>
      </c>
      <c r="C530" s="33" t="s">
        <v>19</v>
      </c>
      <c r="D530" s="34"/>
      <c r="E530" s="34"/>
      <c r="F530" s="15"/>
      <c r="G530" s="34"/>
      <c r="H530" s="34"/>
      <c r="K530" s="4"/>
      <c r="L530" s="5"/>
      <c r="N530" s="4"/>
      <c r="AA530"/>
      <c r="AB530" s="6"/>
      <c r="AC530" s="6"/>
      <c r="AD530" s="7"/>
      <c r="AF530" s="6"/>
      <c r="AH530" s="7"/>
      <c r="AI530"/>
      <c r="AJ530"/>
    </row>
    <row r="531" spans="1:36" ht="15" thickBot="1" x14ac:dyDescent="0.4">
      <c r="A531" s="35"/>
      <c r="B531" s="35"/>
      <c r="C531" s="43"/>
      <c r="D531" s="35"/>
      <c r="E531" s="35"/>
      <c r="F531" s="44">
        <f>SUM(F528:F530)</f>
        <v>100</v>
      </c>
      <c r="G531" s="35"/>
      <c r="H531" s="45">
        <f>SUM(H528:H530)</f>
        <v>0.17006802721088435</v>
      </c>
      <c r="K531" s="4"/>
      <c r="L531" s="5"/>
      <c r="N531" s="4"/>
      <c r="AA531"/>
      <c r="AB531" s="6"/>
      <c r="AC531" s="6"/>
      <c r="AD531" s="7"/>
      <c r="AF531" s="6"/>
      <c r="AH531" s="7"/>
      <c r="AI531"/>
      <c r="AJ531"/>
    </row>
    <row r="532" spans="1:36" ht="15" thickBot="1" x14ac:dyDescent="0.4">
      <c r="A532" s="77" t="s">
        <v>0</v>
      </c>
      <c r="B532" s="78"/>
      <c r="C532" s="79">
        <v>46224</v>
      </c>
      <c r="D532" s="80"/>
      <c r="E532" s="81" t="s">
        <v>1</v>
      </c>
      <c r="F532" s="82"/>
      <c r="G532" s="41" t="s">
        <v>2</v>
      </c>
      <c r="H532" s="2"/>
      <c r="I532" s="3"/>
      <c r="K532" s="4"/>
      <c r="L532" s="5"/>
      <c r="N532" s="4"/>
      <c r="AA532"/>
      <c r="AB532" s="6"/>
      <c r="AC532" s="6"/>
      <c r="AD532" s="7"/>
      <c r="AF532" s="6"/>
      <c r="AH532" s="7"/>
      <c r="AI532"/>
      <c r="AJ532"/>
    </row>
    <row r="533" spans="1:36" ht="15" thickBot="1" x14ac:dyDescent="0.4">
      <c r="A533" s="83" t="s">
        <v>3</v>
      </c>
      <c r="B533" s="84"/>
      <c r="C533" s="8" t="s">
        <v>235</v>
      </c>
      <c r="D533" s="9"/>
      <c r="E533" s="85" t="s">
        <v>5</v>
      </c>
      <c r="F533" s="86"/>
      <c r="G533" s="10">
        <v>113210</v>
      </c>
      <c r="H533" s="11"/>
      <c r="I533" s="12"/>
      <c r="K533" s="4"/>
      <c r="L533" s="5"/>
      <c r="N533" s="4"/>
      <c r="AA533"/>
      <c r="AB533" s="6"/>
      <c r="AC533" s="6"/>
      <c r="AD533" s="7"/>
      <c r="AF533" s="6"/>
      <c r="AH533" s="7"/>
      <c r="AI533"/>
      <c r="AJ533"/>
    </row>
    <row r="534" spans="1:36" ht="15" thickBot="1" x14ac:dyDescent="0.4">
      <c r="A534" s="13"/>
      <c r="B534" s="14" t="s">
        <v>6</v>
      </c>
      <c r="C534" s="15"/>
      <c r="D534" s="14" t="s">
        <v>7</v>
      </c>
      <c r="E534" s="16" t="s">
        <v>8</v>
      </c>
      <c r="F534" s="17" t="s">
        <v>9</v>
      </c>
      <c r="G534" s="18" t="s">
        <v>10</v>
      </c>
      <c r="H534" s="14" t="s">
        <v>11</v>
      </c>
      <c r="J534" s="4"/>
      <c r="K534" s="5"/>
      <c r="L534" s="4"/>
      <c r="N534" s="4"/>
      <c r="Z534"/>
      <c r="AA534" s="6"/>
      <c r="AB534" s="6"/>
      <c r="AC534" s="7"/>
      <c r="AF534" s="6"/>
      <c r="AG534" s="7"/>
      <c r="AH534"/>
      <c r="AI534"/>
      <c r="AJ534"/>
    </row>
    <row r="535" spans="1:36" ht="29.5" thickBot="1" x14ac:dyDescent="0.4">
      <c r="A535" s="19">
        <v>1</v>
      </c>
      <c r="B535" s="20">
        <v>305730</v>
      </c>
      <c r="C535" s="21" t="s">
        <v>236</v>
      </c>
      <c r="D535" s="20" t="s">
        <v>23</v>
      </c>
      <c r="E535" s="20">
        <v>48</v>
      </c>
      <c r="F535" s="23">
        <v>48</v>
      </c>
      <c r="G535" s="20">
        <v>321</v>
      </c>
      <c r="H535" s="24">
        <f t="shared" ref="H535:H537" si="57">F535/G535</f>
        <v>0.14953271028037382</v>
      </c>
      <c r="J535" s="4"/>
      <c r="K535" s="5"/>
      <c r="L535" s="4"/>
      <c r="N535" s="4"/>
      <c r="Z535"/>
      <c r="AA535" s="6"/>
      <c r="AB535" s="6"/>
      <c r="AC535" s="7"/>
      <c r="AF535" s="6"/>
      <c r="AG535" s="7"/>
      <c r="AH535"/>
      <c r="AI535"/>
      <c r="AJ535"/>
    </row>
    <row r="536" spans="1:36" ht="29.5" thickBot="1" x14ac:dyDescent="0.4">
      <c r="A536" s="19">
        <v>2</v>
      </c>
      <c r="B536" s="20">
        <v>306069</v>
      </c>
      <c r="C536" s="21" t="s">
        <v>237</v>
      </c>
      <c r="D536" s="20" t="s">
        <v>23</v>
      </c>
      <c r="E536" s="20">
        <v>12</v>
      </c>
      <c r="F536" s="23">
        <v>12</v>
      </c>
      <c r="G536" s="20">
        <v>547</v>
      </c>
      <c r="H536" s="24">
        <f t="shared" si="57"/>
        <v>2.1937842778793418E-2</v>
      </c>
      <c r="J536" s="4"/>
      <c r="K536" s="5"/>
      <c r="L536" s="4"/>
      <c r="N536" s="4"/>
      <c r="Z536"/>
      <c r="AA536" s="6"/>
      <c r="AB536" s="6"/>
      <c r="AC536" s="7"/>
      <c r="AF536" s="6"/>
      <c r="AG536" s="7"/>
      <c r="AH536"/>
      <c r="AI536"/>
      <c r="AJ536"/>
    </row>
    <row r="537" spans="1:36" ht="29.5" thickBot="1" x14ac:dyDescent="0.4">
      <c r="A537" s="19">
        <v>3</v>
      </c>
      <c r="B537" s="20">
        <v>304823</v>
      </c>
      <c r="C537" s="21" t="s">
        <v>238</v>
      </c>
      <c r="D537" s="20" t="s">
        <v>23</v>
      </c>
      <c r="E537" s="20">
        <v>12</v>
      </c>
      <c r="F537" s="23">
        <v>12</v>
      </c>
      <c r="G537" s="20">
        <v>144</v>
      </c>
      <c r="H537" s="24">
        <f t="shared" si="57"/>
        <v>8.3333333333333329E-2</v>
      </c>
      <c r="J537" s="4"/>
      <c r="K537" s="5"/>
      <c r="L537" s="4"/>
      <c r="N537" s="4"/>
      <c r="Z537"/>
      <c r="AA537" s="6"/>
      <c r="AB537" s="6"/>
      <c r="AC537" s="7"/>
      <c r="AF537" s="6"/>
      <c r="AG537" s="7"/>
      <c r="AH537"/>
      <c r="AI537"/>
      <c r="AJ537"/>
    </row>
    <row r="538" spans="1:36" ht="15" thickBot="1" x14ac:dyDescent="0.4">
      <c r="A538" s="38"/>
      <c r="B538" s="39" t="s">
        <v>17</v>
      </c>
      <c r="C538" s="30" t="s">
        <v>18</v>
      </c>
      <c r="D538" s="21"/>
      <c r="E538" s="21"/>
      <c r="F538" s="31"/>
      <c r="G538" s="21"/>
      <c r="H538" s="21"/>
      <c r="J538" s="4"/>
      <c r="K538" s="5"/>
      <c r="L538" s="4"/>
      <c r="N538" s="4"/>
      <c r="Z538"/>
      <c r="AA538" s="6"/>
      <c r="AB538" s="6"/>
      <c r="AC538" s="7"/>
      <c r="AF538" s="6"/>
      <c r="AG538" s="7"/>
      <c r="AH538"/>
      <c r="AI538"/>
      <c r="AJ538"/>
    </row>
    <row r="539" spans="1:36" ht="15" thickBot="1" x14ac:dyDescent="0.4">
      <c r="A539" s="54"/>
      <c r="B539" s="29" t="s">
        <v>17</v>
      </c>
      <c r="C539" s="33" t="s">
        <v>19</v>
      </c>
      <c r="D539" s="34"/>
      <c r="E539" s="34"/>
      <c r="F539" s="15"/>
      <c r="G539" s="34"/>
      <c r="H539" s="34"/>
      <c r="J539" s="4"/>
      <c r="K539" s="5"/>
      <c r="L539" s="4"/>
      <c r="N539" s="4"/>
      <c r="Z539"/>
      <c r="AA539" s="6"/>
      <c r="AB539" s="6"/>
      <c r="AC539" s="7"/>
      <c r="AF539" s="6"/>
      <c r="AG539" s="7"/>
      <c r="AH539"/>
      <c r="AI539"/>
      <c r="AJ539"/>
    </row>
    <row r="540" spans="1:36" ht="15" thickBot="1" x14ac:dyDescent="0.4">
      <c r="A540" s="35"/>
      <c r="B540" s="35"/>
      <c r="C540" s="43"/>
      <c r="D540" s="35"/>
      <c r="E540" s="35"/>
      <c r="F540" s="44">
        <f>SUM(F535:F539)</f>
        <v>72</v>
      </c>
      <c r="G540" s="35"/>
      <c r="H540" s="45">
        <f>SUM(H535:H539)</f>
        <v>0.25480388639250057</v>
      </c>
      <c r="J540" s="4"/>
      <c r="K540" s="5"/>
      <c r="L540" s="4"/>
      <c r="N540" s="4"/>
      <c r="Z540"/>
      <c r="AA540" s="6"/>
      <c r="AB540" s="6"/>
      <c r="AC540" s="7"/>
      <c r="AF540" s="6"/>
      <c r="AG540" s="7"/>
      <c r="AH540"/>
      <c r="AI540"/>
      <c r="AJ540"/>
    </row>
    <row r="541" spans="1:36" ht="15" thickBot="1" x14ac:dyDescent="0.4">
      <c r="A541" s="77" t="s">
        <v>0</v>
      </c>
      <c r="B541" s="78"/>
      <c r="C541" s="79">
        <v>46218</v>
      </c>
      <c r="D541" s="80"/>
      <c r="E541" s="81" t="s">
        <v>1</v>
      </c>
      <c r="F541" s="82"/>
      <c r="G541" s="68" t="s">
        <v>239</v>
      </c>
      <c r="H541" s="2"/>
      <c r="I541" s="3"/>
    </row>
    <row r="542" spans="1:36" ht="15" thickBot="1" x14ac:dyDescent="0.4">
      <c r="A542" s="83" t="s">
        <v>3</v>
      </c>
      <c r="B542" s="84"/>
      <c r="C542" s="8" t="s">
        <v>240</v>
      </c>
      <c r="D542" s="9"/>
      <c r="E542" s="85" t="s">
        <v>5</v>
      </c>
      <c r="F542" s="86"/>
      <c r="G542" s="42" t="s">
        <v>241</v>
      </c>
      <c r="H542" s="11"/>
      <c r="I542" s="12"/>
    </row>
    <row r="543" spans="1:36" ht="15" thickBot="1" x14ac:dyDescent="0.4">
      <c r="A543" s="13"/>
      <c r="B543" s="14" t="s">
        <v>6</v>
      </c>
      <c r="C543" s="15"/>
      <c r="D543" s="14" t="s">
        <v>7</v>
      </c>
      <c r="E543" s="16" t="s">
        <v>8</v>
      </c>
      <c r="F543" s="17" t="s">
        <v>9</v>
      </c>
      <c r="G543" s="18" t="s">
        <v>10</v>
      </c>
      <c r="H543" s="14" t="s">
        <v>11</v>
      </c>
      <c r="L543" s="4"/>
      <c r="M543" s="5"/>
      <c r="N543" s="4"/>
      <c r="AB543"/>
      <c r="AC543" s="6"/>
      <c r="AE543" s="7"/>
      <c r="AF543" s="6"/>
      <c r="AI543" s="7"/>
      <c r="AJ543"/>
    </row>
    <row r="544" spans="1:36" ht="29.5" thickBot="1" x14ac:dyDescent="0.4">
      <c r="A544" s="19">
        <v>1</v>
      </c>
      <c r="B544" s="20">
        <v>800659</v>
      </c>
      <c r="C544" s="21" t="s">
        <v>218</v>
      </c>
      <c r="D544" s="20" t="s">
        <v>23</v>
      </c>
      <c r="E544" s="20">
        <v>1000</v>
      </c>
      <c r="F544" s="23">
        <v>1000</v>
      </c>
      <c r="G544" s="20">
        <v>1650</v>
      </c>
      <c r="H544" s="24">
        <f t="shared" ref="H544" si="58">F544/G544</f>
        <v>0.60606060606060608</v>
      </c>
      <c r="L544" s="4"/>
      <c r="M544" s="5"/>
      <c r="N544" s="4"/>
      <c r="AB544"/>
      <c r="AC544" s="6"/>
      <c r="AE544" s="7"/>
      <c r="AF544" s="6"/>
      <c r="AI544" s="7"/>
      <c r="AJ544"/>
    </row>
    <row r="545" spans="1:36" ht="15" thickBot="1" x14ac:dyDescent="0.4">
      <c r="A545" s="38"/>
      <c r="B545" s="39" t="s">
        <v>17</v>
      </c>
      <c r="C545" s="30" t="s">
        <v>242</v>
      </c>
      <c r="D545" s="21"/>
      <c r="E545" s="21"/>
      <c r="F545" s="31"/>
      <c r="G545" s="21"/>
      <c r="H545" s="21"/>
      <c r="L545" s="4"/>
      <c r="M545" s="5"/>
      <c r="N545" s="4"/>
      <c r="AB545"/>
      <c r="AC545" s="6"/>
      <c r="AE545" s="7"/>
      <c r="AF545" s="6"/>
      <c r="AI545" s="7"/>
      <c r="AJ545"/>
    </row>
    <row r="546" spans="1:36" ht="15" thickBot="1" x14ac:dyDescent="0.4">
      <c r="A546" s="38"/>
      <c r="B546" s="39" t="s">
        <v>17</v>
      </c>
      <c r="C546" s="30" t="s">
        <v>243</v>
      </c>
      <c r="D546" s="21"/>
      <c r="E546" s="21"/>
      <c r="F546" s="31"/>
      <c r="G546" s="21"/>
      <c r="H546" s="21"/>
      <c r="L546" s="4"/>
      <c r="M546" s="5"/>
      <c r="N546" s="4"/>
      <c r="AB546"/>
      <c r="AC546" s="6"/>
      <c r="AE546" s="7"/>
      <c r="AF546" s="6"/>
      <c r="AI546" s="7"/>
      <c r="AJ546"/>
    </row>
    <row r="547" spans="1:36" ht="15" thickBot="1" x14ac:dyDescent="0.4">
      <c r="A547" s="38"/>
      <c r="B547" s="39" t="s">
        <v>17</v>
      </c>
      <c r="C547" s="30" t="s">
        <v>244</v>
      </c>
      <c r="D547" s="21"/>
      <c r="E547" s="21"/>
      <c r="F547" s="31"/>
      <c r="G547" s="21"/>
      <c r="H547" s="21"/>
      <c r="L547" s="4"/>
      <c r="M547" s="5"/>
      <c r="N547" s="4"/>
      <c r="AB547"/>
      <c r="AC547" s="6"/>
      <c r="AE547" s="7"/>
      <c r="AF547" s="6"/>
      <c r="AI547" s="7"/>
      <c r="AJ547"/>
    </row>
    <row r="548" spans="1:36" ht="15" thickBot="1" x14ac:dyDescent="0.4">
      <c r="A548" s="54"/>
      <c r="B548" s="29" t="s">
        <v>17</v>
      </c>
      <c r="C548" s="61" t="s">
        <v>245</v>
      </c>
      <c r="D548" s="34"/>
      <c r="E548" s="34"/>
      <c r="F548" s="15"/>
      <c r="G548" s="34"/>
      <c r="H548" s="34"/>
      <c r="L548" s="4"/>
      <c r="M548" s="5"/>
      <c r="N548" s="4"/>
      <c r="AB548"/>
      <c r="AC548" s="6"/>
      <c r="AE548" s="7"/>
      <c r="AF548" s="6"/>
      <c r="AI548" s="7"/>
      <c r="AJ548"/>
    </row>
    <row r="549" spans="1:36" ht="15" thickBot="1" x14ac:dyDescent="0.4">
      <c r="A549" s="35"/>
      <c r="B549" s="35"/>
      <c r="C549" s="43"/>
      <c r="D549" s="35"/>
      <c r="E549" s="35"/>
      <c r="F549" s="44">
        <f>SUM(F544:F548)</f>
        <v>1000</v>
      </c>
      <c r="G549" s="35"/>
      <c r="H549" s="45">
        <f>SUM(H544:H548)</f>
        <v>0.60606060606060608</v>
      </c>
      <c r="L549" s="4"/>
      <c r="M549" s="5"/>
      <c r="N549" s="4"/>
      <c r="AB549"/>
      <c r="AC549" s="6"/>
      <c r="AE549" s="7"/>
      <c r="AF549" s="6"/>
      <c r="AI549" s="7"/>
      <c r="AJ549"/>
    </row>
    <row r="550" spans="1:36" ht="15" thickBot="1" x14ac:dyDescent="0.4">
      <c r="A550" s="77" t="s">
        <v>0</v>
      </c>
      <c r="B550" s="78"/>
      <c r="C550" s="79">
        <v>46218</v>
      </c>
      <c r="D550" s="80"/>
      <c r="E550" s="81" t="s">
        <v>1</v>
      </c>
      <c r="F550" s="82"/>
      <c r="G550" s="68" t="s">
        <v>239</v>
      </c>
      <c r="H550" s="2"/>
      <c r="I550" s="3"/>
    </row>
    <row r="551" spans="1:36" ht="15" thickBot="1" x14ac:dyDescent="0.4">
      <c r="A551" s="83" t="s">
        <v>3</v>
      </c>
      <c r="B551" s="84"/>
      <c r="C551" s="8" t="s">
        <v>246</v>
      </c>
      <c r="D551" s="9"/>
      <c r="E551" s="85" t="s">
        <v>5</v>
      </c>
      <c r="F551" s="86"/>
      <c r="G551" s="42" t="s">
        <v>241</v>
      </c>
      <c r="H551" s="11"/>
      <c r="I551" s="12"/>
    </row>
    <row r="552" spans="1:36" ht="15" thickBot="1" x14ac:dyDescent="0.4">
      <c r="A552" s="13"/>
      <c r="B552" s="14" t="s">
        <v>6</v>
      </c>
      <c r="C552" s="15"/>
      <c r="D552" s="14" t="s">
        <v>7</v>
      </c>
      <c r="E552" s="16" t="s">
        <v>8</v>
      </c>
      <c r="F552" s="17" t="s">
        <v>9</v>
      </c>
      <c r="G552" s="18" t="s">
        <v>10</v>
      </c>
      <c r="H552" s="14" t="s">
        <v>11</v>
      </c>
      <c r="L552" s="4"/>
      <c r="M552" s="5"/>
      <c r="N552" s="4"/>
      <c r="AB552"/>
      <c r="AC552" s="6"/>
      <c r="AE552" s="7"/>
      <c r="AF552" s="6"/>
      <c r="AI552" s="7"/>
      <c r="AJ552"/>
    </row>
    <row r="553" spans="1:36" ht="29.5" thickBot="1" x14ac:dyDescent="0.4">
      <c r="A553" s="19">
        <v>1</v>
      </c>
      <c r="B553" s="20">
        <v>800659</v>
      </c>
      <c r="C553" s="21" t="s">
        <v>218</v>
      </c>
      <c r="D553" s="20" t="s">
        <v>23</v>
      </c>
      <c r="E553" s="20">
        <v>2300</v>
      </c>
      <c r="F553" s="23">
        <v>2300</v>
      </c>
      <c r="G553" s="20">
        <v>1650</v>
      </c>
      <c r="H553" s="24">
        <f t="shared" ref="H553" si="59">F553/G553</f>
        <v>1.393939393939394</v>
      </c>
      <c r="L553" s="4"/>
      <c r="M553" s="5"/>
      <c r="N553" s="4"/>
      <c r="AB553"/>
      <c r="AC553" s="6"/>
      <c r="AE553" s="7"/>
      <c r="AF553" s="6"/>
      <c r="AI553" s="7"/>
      <c r="AJ553"/>
    </row>
    <row r="554" spans="1:36" ht="15" thickBot="1" x14ac:dyDescent="0.4">
      <c r="A554" s="38"/>
      <c r="B554" s="39" t="s">
        <v>17</v>
      </c>
      <c r="C554" s="30" t="s">
        <v>242</v>
      </c>
      <c r="D554" s="21"/>
      <c r="E554" s="21"/>
      <c r="F554" s="31"/>
      <c r="G554" s="21"/>
      <c r="H554" s="21"/>
      <c r="L554" s="4"/>
      <c r="M554" s="5"/>
      <c r="N554" s="4"/>
      <c r="AB554"/>
      <c r="AC554" s="6"/>
      <c r="AE554" s="7"/>
      <c r="AF554" s="6"/>
      <c r="AI554" s="7"/>
      <c r="AJ554"/>
    </row>
    <row r="555" spans="1:36" ht="15" thickBot="1" x14ac:dyDescent="0.4">
      <c r="A555" s="38"/>
      <c r="B555" s="39" t="s">
        <v>17</v>
      </c>
      <c r="C555" s="30" t="s">
        <v>243</v>
      </c>
      <c r="D555" s="21"/>
      <c r="E555" s="21"/>
      <c r="F555" s="31"/>
      <c r="G555" s="21"/>
      <c r="H555" s="21"/>
      <c r="L555" s="4"/>
      <c r="M555" s="5"/>
      <c r="N555" s="4"/>
      <c r="AB555"/>
      <c r="AC555" s="6"/>
      <c r="AE555" s="7"/>
      <c r="AF555" s="6"/>
      <c r="AI555" s="7"/>
      <c r="AJ555"/>
    </row>
    <row r="556" spans="1:36" ht="15" thickBot="1" x14ac:dyDescent="0.4">
      <c r="A556" s="38"/>
      <c r="B556" s="39" t="s">
        <v>17</v>
      </c>
      <c r="C556" s="30" t="s">
        <v>244</v>
      </c>
      <c r="D556" s="21"/>
      <c r="E556" s="21"/>
      <c r="F556" s="31"/>
      <c r="G556" s="21"/>
      <c r="H556" s="21"/>
      <c r="L556" s="4"/>
      <c r="M556" s="5"/>
      <c r="N556" s="4"/>
      <c r="AB556"/>
      <c r="AC556" s="6"/>
      <c r="AE556" s="7"/>
      <c r="AF556" s="6"/>
      <c r="AI556" s="7"/>
      <c r="AJ556"/>
    </row>
    <row r="557" spans="1:36" ht="15" thickBot="1" x14ac:dyDescent="0.4">
      <c r="A557" s="54"/>
      <c r="B557" s="29" t="s">
        <v>17</v>
      </c>
      <c r="C557" s="61" t="s">
        <v>245</v>
      </c>
      <c r="D557" s="34"/>
      <c r="E557" s="34"/>
      <c r="F557" s="15"/>
      <c r="G557" s="34"/>
      <c r="H557" s="34"/>
      <c r="L557" s="4"/>
      <c r="M557" s="5"/>
      <c r="N557" s="4"/>
      <c r="AB557"/>
      <c r="AC557" s="6"/>
      <c r="AE557" s="7"/>
      <c r="AF557" s="6"/>
      <c r="AI557" s="7"/>
      <c r="AJ557"/>
    </row>
    <row r="558" spans="1:36" ht="15" thickBot="1" x14ac:dyDescent="0.4">
      <c r="A558" s="35"/>
      <c r="B558" s="35"/>
      <c r="C558" s="43"/>
      <c r="D558" s="35"/>
      <c r="E558" s="35"/>
      <c r="F558" s="44">
        <f>SUM(F553:F557)</f>
        <v>2300</v>
      </c>
      <c r="G558" s="35"/>
      <c r="H558" s="45">
        <f>SUM(H553:H557)</f>
        <v>1.393939393939394</v>
      </c>
      <c r="L558" s="4"/>
      <c r="M558" s="5"/>
      <c r="N558" s="4"/>
      <c r="AB558"/>
      <c r="AC558" s="6"/>
      <c r="AE558" s="7"/>
      <c r="AF558" s="6"/>
      <c r="AI558" s="7"/>
      <c r="AJ558"/>
    </row>
  </sheetData>
  <mergeCells count="300">
    <mergeCell ref="A542:B542"/>
    <mergeCell ref="E542:F542"/>
    <mergeCell ref="A550:B550"/>
    <mergeCell ref="C550:D550"/>
    <mergeCell ref="E550:F550"/>
    <mergeCell ref="A551:B551"/>
    <mergeCell ref="E551:F551"/>
    <mergeCell ref="A532:B532"/>
    <mergeCell ref="C532:D532"/>
    <mergeCell ref="E532:F532"/>
    <mergeCell ref="A533:B533"/>
    <mergeCell ref="E533:F533"/>
    <mergeCell ref="A541:B541"/>
    <mergeCell ref="C541:D541"/>
    <mergeCell ref="E541:F541"/>
    <mergeCell ref="A518:B518"/>
    <mergeCell ref="E518:F518"/>
    <mergeCell ref="A525:B525"/>
    <mergeCell ref="C525:D525"/>
    <mergeCell ref="E525:F525"/>
    <mergeCell ref="A526:B526"/>
    <mergeCell ref="E526:F526"/>
    <mergeCell ref="A509:B509"/>
    <mergeCell ref="C509:D509"/>
    <mergeCell ref="E509:F509"/>
    <mergeCell ref="A510:B510"/>
    <mergeCell ref="E510:F510"/>
    <mergeCell ref="A517:B517"/>
    <mergeCell ref="C517:D517"/>
    <mergeCell ref="E517:F517"/>
    <mergeCell ref="A488:B488"/>
    <mergeCell ref="E488:F488"/>
    <mergeCell ref="A494:B494"/>
    <mergeCell ref="C494:D494"/>
    <mergeCell ref="E494:F494"/>
    <mergeCell ref="A495:B495"/>
    <mergeCell ref="E495:F495"/>
    <mergeCell ref="A475:B475"/>
    <mergeCell ref="C475:D475"/>
    <mergeCell ref="E475:F475"/>
    <mergeCell ref="A476:B476"/>
    <mergeCell ref="E476:F476"/>
    <mergeCell ref="A487:B487"/>
    <mergeCell ref="C487:D487"/>
    <mergeCell ref="E487:F487"/>
    <mergeCell ref="A455:B455"/>
    <mergeCell ref="C455:D455"/>
    <mergeCell ref="E455:F455"/>
    <mergeCell ref="A456:B456"/>
    <mergeCell ref="E456:F456"/>
    <mergeCell ref="A440:B440"/>
    <mergeCell ref="E440:F440"/>
    <mergeCell ref="A446:B446"/>
    <mergeCell ref="C446:D446"/>
    <mergeCell ref="E446:F446"/>
    <mergeCell ref="A447:B447"/>
    <mergeCell ref="E447:F447"/>
    <mergeCell ref="A430:B430"/>
    <mergeCell ref="C430:D430"/>
    <mergeCell ref="E430:F430"/>
    <mergeCell ref="A431:B431"/>
    <mergeCell ref="E431:F431"/>
    <mergeCell ref="A439:B439"/>
    <mergeCell ref="C439:D439"/>
    <mergeCell ref="E439:F439"/>
    <mergeCell ref="A415:B415"/>
    <mergeCell ref="E415:F415"/>
    <mergeCell ref="A421:B421"/>
    <mergeCell ref="C421:D421"/>
    <mergeCell ref="E421:F421"/>
    <mergeCell ref="A422:B422"/>
    <mergeCell ref="E422:F422"/>
    <mergeCell ref="A414:B414"/>
    <mergeCell ref="C414:D414"/>
    <mergeCell ref="E414:F414"/>
    <mergeCell ref="A405:B405"/>
    <mergeCell ref="C405:D405"/>
    <mergeCell ref="E405:F405"/>
    <mergeCell ref="A406:B406"/>
    <mergeCell ref="E406:F406"/>
    <mergeCell ref="A385:B385"/>
    <mergeCell ref="C385:D385"/>
    <mergeCell ref="E385:F385"/>
    <mergeCell ref="A386:B386"/>
    <mergeCell ref="E386:F386"/>
    <mergeCell ref="A378:B378"/>
    <mergeCell ref="C378:D378"/>
    <mergeCell ref="E378:F378"/>
    <mergeCell ref="A379:B379"/>
    <mergeCell ref="E379:F379"/>
    <mergeCell ref="A369:B369"/>
    <mergeCell ref="E369:F369"/>
    <mergeCell ref="A360:B360"/>
    <mergeCell ref="C360:D360"/>
    <mergeCell ref="E360:F360"/>
    <mergeCell ref="A361:B361"/>
    <mergeCell ref="E361:F361"/>
    <mergeCell ref="A368:B368"/>
    <mergeCell ref="C368:D368"/>
    <mergeCell ref="E368:F368"/>
    <mergeCell ref="A343:B343"/>
    <mergeCell ref="E343:F343"/>
    <mergeCell ref="A350:B350"/>
    <mergeCell ref="C350:D350"/>
    <mergeCell ref="E350:F350"/>
    <mergeCell ref="A351:B351"/>
    <mergeCell ref="E351:F351"/>
    <mergeCell ref="A342:B342"/>
    <mergeCell ref="C342:D342"/>
    <mergeCell ref="E342:F342"/>
    <mergeCell ref="A333:B333"/>
    <mergeCell ref="C333:D333"/>
    <mergeCell ref="E333:F333"/>
    <mergeCell ref="A334:B334"/>
    <mergeCell ref="E334:F334"/>
    <mergeCell ref="A314:B314"/>
    <mergeCell ref="E314:F314"/>
    <mergeCell ref="A322:B322"/>
    <mergeCell ref="C322:D322"/>
    <mergeCell ref="E322:F322"/>
    <mergeCell ref="A323:B323"/>
    <mergeCell ref="E323:F323"/>
    <mergeCell ref="A313:B313"/>
    <mergeCell ref="C313:D313"/>
    <mergeCell ref="E313:F313"/>
    <mergeCell ref="A307:B307"/>
    <mergeCell ref="E307:F307"/>
    <mergeCell ref="A299:B299"/>
    <mergeCell ref="C299:D299"/>
    <mergeCell ref="E299:F299"/>
    <mergeCell ref="A300:B300"/>
    <mergeCell ref="E300:F300"/>
    <mergeCell ref="A306:B306"/>
    <mergeCell ref="C306:D306"/>
    <mergeCell ref="E306:F306"/>
    <mergeCell ref="A284:B284"/>
    <mergeCell ref="E284:F284"/>
    <mergeCell ref="A292:B292"/>
    <mergeCell ref="C292:D292"/>
    <mergeCell ref="E292:F292"/>
    <mergeCell ref="A293:B293"/>
    <mergeCell ref="E293:F293"/>
    <mergeCell ref="A273:B273"/>
    <mergeCell ref="E273:F273"/>
    <mergeCell ref="C275:C277"/>
    <mergeCell ref="A283:B283"/>
    <mergeCell ref="C283:D283"/>
    <mergeCell ref="E283:F283"/>
    <mergeCell ref="A272:B272"/>
    <mergeCell ref="C272:D272"/>
    <mergeCell ref="E272:F272"/>
    <mergeCell ref="A266:B266"/>
    <mergeCell ref="E266:F266"/>
    <mergeCell ref="A257:B257"/>
    <mergeCell ref="C257:D257"/>
    <mergeCell ref="E257:F257"/>
    <mergeCell ref="A258:B258"/>
    <mergeCell ref="E258:F258"/>
    <mergeCell ref="A265:B265"/>
    <mergeCell ref="C265:D265"/>
    <mergeCell ref="E265:F265"/>
    <mergeCell ref="A234:B234"/>
    <mergeCell ref="E234:F234"/>
    <mergeCell ref="A250:B250"/>
    <mergeCell ref="C250:D250"/>
    <mergeCell ref="E250:F250"/>
    <mergeCell ref="A251:B251"/>
    <mergeCell ref="E251:F251"/>
    <mergeCell ref="A226:B226"/>
    <mergeCell ref="C226:D226"/>
    <mergeCell ref="E226:F226"/>
    <mergeCell ref="A227:B227"/>
    <mergeCell ref="E227:F227"/>
    <mergeCell ref="A233:B233"/>
    <mergeCell ref="C233:D233"/>
    <mergeCell ref="E233:F233"/>
    <mergeCell ref="A213:B213"/>
    <mergeCell ref="E213:F213"/>
    <mergeCell ref="A219:B219"/>
    <mergeCell ref="C219:D219"/>
    <mergeCell ref="E219:F219"/>
    <mergeCell ref="A220:B220"/>
    <mergeCell ref="E220:F220"/>
    <mergeCell ref="A205:B205"/>
    <mergeCell ref="C205:D205"/>
    <mergeCell ref="E205:F205"/>
    <mergeCell ref="A206:B206"/>
    <mergeCell ref="E206:F206"/>
    <mergeCell ref="A212:B212"/>
    <mergeCell ref="C212:D212"/>
    <mergeCell ref="E212:F212"/>
    <mergeCell ref="A191:B191"/>
    <mergeCell ref="E191:F191"/>
    <mergeCell ref="A197:B197"/>
    <mergeCell ref="C197:D197"/>
    <mergeCell ref="E197:F197"/>
    <mergeCell ref="A198:B198"/>
    <mergeCell ref="E198:F198"/>
    <mergeCell ref="A190:B190"/>
    <mergeCell ref="C190:D190"/>
    <mergeCell ref="E190:F190"/>
    <mergeCell ref="A183:B183"/>
    <mergeCell ref="C183:D183"/>
    <mergeCell ref="E183:F183"/>
    <mergeCell ref="A184:B184"/>
    <mergeCell ref="E184:F184"/>
    <mergeCell ref="A167:B167"/>
    <mergeCell ref="E167:F167"/>
    <mergeCell ref="A175:B175"/>
    <mergeCell ref="C175:D175"/>
    <mergeCell ref="E175:F175"/>
    <mergeCell ref="A176:B176"/>
    <mergeCell ref="E176:F176"/>
    <mergeCell ref="A156:B156"/>
    <mergeCell ref="C156:D156"/>
    <mergeCell ref="E156:F156"/>
    <mergeCell ref="A157:B157"/>
    <mergeCell ref="E157:F157"/>
    <mergeCell ref="A166:B166"/>
    <mergeCell ref="C166:D166"/>
    <mergeCell ref="E166:F166"/>
    <mergeCell ref="A137:B137"/>
    <mergeCell ref="E137:F137"/>
    <mergeCell ref="A149:B149"/>
    <mergeCell ref="C149:D149"/>
    <mergeCell ref="E149:F149"/>
    <mergeCell ref="A150:B150"/>
    <mergeCell ref="E150:F150"/>
    <mergeCell ref="A129:B129"/>
    <mergeCell ref="C129:D129"/>
    <mergeCell ref="E129:F129"/>
    <mergeCell ref="A130:B130"/>
    <mergeCell ref="E130:F130"/>
    <mergeCell ref="A136:B136"/>
    <mergeCell ref="C136:D136"/>
    <mergeCell ref="E136:F136"/>
    <mergeCell ref="A102:B102"/>
    <mergeCell ref="E102:F102"/>
    <mergeCell ref="A115:B115"/>
    <mergeCell ref="C115:D115"/>
    <mergeCell ref="E115:F115"/>
    <mergeCell ref="A116:B116"/>
    <mergeCell ref="E116:F116"/>
    <mergeCell ref="A94:B94"/>
    <mergeCell ref="C94:D94"/>
    <mergeCell ref="E94:F94"/>
    <mergeCell ref="A95:B95"/>
    <mergeCell ref="E95:F95"/>
    <mergeCell ref="A101:B101"/>
    <mergeCell ref="C101:D101"/>
    <mergeCell ref="E101:F101"/>
    <mergeCell ref="A78:B78"/>
    <mergeCell ref="A85:B85"/>
    <mergeCell ref="C85:D85"/>
    <mergeCell ref="E85:F85"/>
    <mergeCell ref="A86:B86"/>
    <mergeCell ref="E86:F86"/>
    <mergeCell ref="A65:B65"/>
    <mergeCell ref="C65:D65"/>
    <mergeCell ref="E65:F65"/>
    <mergeCell ref="A66:B66"/>
    <mergeCell ref="E66:F66"/>
    <mergeCell ref="A77:B77"/>
    <mergeCell ref="C77:D77"/>
    <mergeCell ref="E77:F77"/>
    <mergeCell ref="A51:B51"/>
    <mergeCell ref="E51:F51"/>
    <mergeCell ref="A58:B58"/>
    <mergeCell ref="C58:D58"/>
    <mergeCell ref="E58:F58"/>
    <mergeCell ref="A59:B59"/>
    <mergeCell ref="E59:F59"/>
    <mergeCell ref="A43:B43"/>
    <mergeCell ref="C43:D43"/>
    <mergeCell ref="E43:F43"/>
    <mergeCell ref="A44:B44"/>
    <mergeCell ref="E44:F44"/>
    <mergeCell ref="A50:B50"/>
    <mergeCell ref="C50:D50"/>
    <mergeCell ref="E50:F50"/>
    <mergeCell ref="A22:B22"/>
    <mergeCell ref="E22:F22"/>
    <mergeCell ref="A34:B34"/>
    <mergeCell ref="C34:D34"/>
    <mergeCell ref="E34:F34"/>
    <mergeCell ref="A35:B35"/>
    <mergeCell ref="E35:F35"/>
    <mergeCell ref="A21:B21"/>
    <mergeCell ref="C21:D21"/>
    <mergeCell ref="E21:F21"/>
    <mergeCell ref="A12:B12"/>
    <mergeCell ref="E12:F12"/>
    <mergeCell ref="A1:B1"/>
    <mergeCell ref="C1:D1"/>
    <mergeCell ref="E1:F1"/>
    <mergeCell ref="A2:B2"/>
    <mergeCell ref="E2:F2"/>
    <mergeCell ref="A11:B11"/>
    <mergeCell ref="C11:D11"/>
    <mergeCell ref="E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5336-724E-4D14-86CB-579E12911B71}">
  <dimension ref="A1:K173"/>
  <sheetViews>
    <sheetView tabSelected="1" topLeftCell="A121" workbookViewId="0">
      <selection activeCell="A132" sqref="A132"/>
    </sheetView>
  </sheetViews>
  <sheetFormatPr defaultRowHeight="14.5" x14ac:dyDescent="0.35"/>
  <cols>
    <col min="1" max="1" width="17.81640625" style="98" customWidth="1"/>
    <col min="2" max="2" width="26.08984375" style="101" customWidth="1"/>
    <col min="3" max="3" width="12" style="101" customWidth="1"/>
    <col min="4" max="4" width="15.453125" style="106" customWidth="1"/>
    <col min="5" max="5" width="7.6328125" style="69" bestFit="1" customWidth="1"/>
    <col min="6" max="6" width="73.453125" customWidth="1"/>
    <col min="7" max="7" width="30.6328125" style="69" hidden="1" customWidth="1"/>
    <col min="8" max="8" width="6.81640625" style="69" customWidth="1"/>
    <col min="9" max="9" width="5.54296875" style="69" customWidth="1"/>
    <col min="10" max="10" width="7.08984375" style="69" hidden="1" customWidth="1"/>
    <col min="11" max="11" width="7.6328125" style="70" customWidth="1"/>
  </cols>
  <sheetData>
    <row r="1" spans="1:11" s="6" customFormat="1" ht="28.5" customHeight="1" x14ac:dyDescent="0.35">
      <c r="A1" s="96" t="s">
        <v>247</v>
      </c>
      <c r="B1" s="107" t="s">
        <v>248</v>
      </c>
      <c r="C1" s="99" t="s">
        <v>1</v>
      </c>
      <c r="D1" s="103" t="s">
        <v>249</v>
      </c>
      <c r="E1" s="72" t="s">
        <v>6</v>
      </c>
      <c r="F1" s="72" t="s">
        <v>250</v>
      </c>
      <c r="G1" s="72" t="s">
        <v>251</v>
      </c>
      <c r="H1" s="73" t="s">
        <v>8</v>
      </c>
      <c r="I1" s="73" t="s">
        <v>9</v>
      </c>
      <c r="J1" s="72" t="s">
        <v>10</v>
      </c>
      <c r="K1" s="74" t="s">
        <v>11</v>
      </c>
    </row>
    <row r="2" spans="1:11" x14ac:dyDescent="0.35">
      <c r="A2" s="92">
        <v>45945</v>
      </c>
      <c r="B2" s="108" t="s">
        <v>4</v>
      </c>
      <c r="C2" s="95" t="s">
        <v>252</v>
      </c>
      <c r="D2" s="104">
        <v>112682</v>
      </c>
      <c r="E2" s="71">
        <v>306382</v>
      </c>
      <c r="F2" s="75" t="s">
        <v>12</v>
      </c>
      <c r="G2" s="71" t="s">
        <v>13</v>
      </c>
      <c r="H2" s="71">
        <v>10</v>
      </c>
      <c r="I2" s="71">
        <v>5</v>
      </c>
      <c r="J2" s="71">
        <v>806</v>
      </c>
      <c r="K2" s="76">
        <v>6.2034739454094297E-3</v>
      </c>
    </row>
    <row r="3" spans="1:11" x14ac:dyDescent="0.35">
      <c r="A3" s="92">
        <v>45945</v>
      </c>
      <c r="B3" s="108" t="s">
        <v>4</v>
      </c>
      <c r="C3" s="95" t="s">
        <v>252</v>
      </c>
      <c r="D3" s="104">
        <v>112682</v>
      </c>
      <c r="E3" s="71">
        <v>306383</v>
      </c>
      <c r="F3" s="75" t="s">
        <v>14</v>
      </c>
      <c r="G3" s="71" t="s">
        <v>13</v>
      </c>
      <c r="H3" s="71">
        <v>10</v>
      </c>
      <c r="I3" s="71">
        <v>5</v>
      </c>
      <c r="J3" s="71">
        <v>738</v>
      </c>
      <c r="K3" s="76">
        <v>6.7750677506775072E-3</v>
      </c>
    </row>
    <row r="4" spans="1:11" x14ac:dyDescent="0.35">
      <c r="A4" s="92">
        <v>45945</v>
      </c>
      <c r="B4" s="108" t="s">
        <v>4</v>
      </c>
      <c r="C4" s="95" t="s">
        <v>252</v>
      </c>
      <c r="D4" s="104">
        <v>112682</v>
      </c>
      <c r="E4" s="71">
        <v>306384</v>
      </c>
      <c r="F4" s="75" t="s">
        <v>15</v>
      </c>
      <c r="G4" s="71" t="s">
        <v>13</v>
      </c>
      <c r="H4" s="71">
        <v>10</v>
      </c>
      <c r="I4" s="71">
        <v>7</v>
      </c>
      <c r="J4" s="71">
        <v>164</v>
      </c>
      <c r="K4" s="76">
        <v>4.2682926829268296E-2</v>
      </c>
    </row>
    <row r="5" spans="1:11" x14ac:dyDescent="0.35">
      <c r="A5" s="92">
        <v>45945</v>
      </c>
      <c r="B5" s="108" t="s">
        <v>4</v>
      </c>
      <c r="C5" s="95" t="s">
        <v>252</v>
      </c>
      <c r="D5" s="104">
        <v>112682</v>
      </c>
      <c r="E5" s="71">
        <v>306385</v>
      </c>
      <c r="F5" s="75" t="s">
        <v>16</v>
      </c>
      <c r="G5" s="71" t="s">
        <v>13</v>
      </c>
      <c r="H5" s="71">
        <v>10</v>
      </c>
      <c r="I5" s="71">
        <v>7</v>
      </c>
      <c r="J5" s="71">
        <v>102</v>
      </c>
      <c r="K5" s="76">
        <v>6.8627450980392163E-2</v>
      </c>
    </row>
    <row r="6" spans="1:11" x14ac:dyDescent="0.35">
      <c r="A6" s="97">
        <v>46076</v>
      </c>
      <c r="B6" s="100" t="s">
        <v>253</v>
      </c>
      <c r="C6" s="100" t="s">
        <v>252</v>
      </c>
      <c r="D6" s="104">
        <v>112791</v>
      </c>
      <c r="E6" s="71">
        <v>304703</v>
      </c>
      <c r="F6" s="75" t="s">
        <v>22</v>
      </c>
      <c r="G6" s="71" t="s">
        <v>23</v>
      </c>
      <c r="H6" s="71">
        <v>738</v>
      </c>
      <c r="I6" s="71">
        <v>738</v>
      </c>
      <c r="J6" s="71">
        <v>8211</v>
      </c>
      <c r="K6" s="76">
        <v>8.9879430032882721E-2</v>
      </c>
    </row>
    <row r="7" spans="1:11" ht="14.5" customHeight="1" x14ac:dyDescent="0.35">
      <c r="A7" s="92">
        <v>46108</v>
      </c>
      <c r="B7" s="102" t="s">
        <v>254</v>
      </c>
      <c r="C7" s="94" t="s">
        <v>252</v>
      </c>
      <c r="D7" s="105" t="s">
        <v>37</v>
      </c>
      <c r="E7" s="71">
        <v>306398</v>
      </c>
      <c r="F7" s="75" t="s">
        <v>38</v>
      </c>
      <c r="G7" s="71" t="s">
        <v>28</v>
      </c>
      <c r="H7" s="71">
        <v>120</v>
      </c>
      <c r="I7" s="71">
        <v>120</v>
      </c>
      <c r="J7" s="71">
        <v>6720</v>
      </c>
      <c r="K7" s="76">
        <v>1.7857142857142856E-2</v>
      </c>
    </row>
    <row r="8" spans="1:11" ht="29" customHeight="1" x14ac:dyDescent="0.35">
      <c r="A8" s="92">
        <v>46108</v>
      </c>
      <c r="B8" s="102" t="s">
        <v>254</v>
      </c>
      <c r="C8" s="94" t="s">
        <v>252</v>
      </c>
      <c r="D8" s="105" t="s">
        <v>37</v>
      </c>
      <c r="E8" s="71">
        <v>306399</v>
      </c>
      <c r="F8" s="75" t="s">
        <v>39</v>
      </c>
      <c r="G8" s="71" t="s">
        <v>28</v>
      </c>
      <c r="H8" s="71">
        <v>80</v>
      </c>
      <c r="I8" s="71">
        <v>80</v>
      </c>
      <c r="J8" s="71">
        <v>3192</v>
      </c>
      <c r="K8" s="76">
        <v>2.5062656641604009E-2</v>
      </c>
    </row>
    <row r="9" spans="1:11" ht="29" customHeight="1" x14ac:dyDescent="0.35">
      <c r="A9" s="92">
        <v>46108</v>
      </c>
      <c r="B9" s="102" t="s">
        <v>254</v>
      </c>
      <c r="C9" s="94" t="s">
        <v>252</v>
      </c>
      <c r="D9" s="105" t="s">
        <v>37</v>
      </c>
      <c r="E9" s="71">
        <v>306400</v>
      </c>
      <c r="F9" s="75" t="s">
        <v>40</v>
      </c>
      <c r="G9" s="71" t="s">
        <v>28</v>
      </c>
      <c r="H9" s="71">
        <v>25</v>
      </c>
      <c r="I9" s="71">
        <v>25</v>
      </c>
      <c r="J9" s="71">
        <v>880</v>
      </c>
      <c r="K9" s="76">
        <v>2.8409090909090908E-2</v>
      </c>
    </row>
    <row r="10" spans="1:11" ht="29" customHeight="1" x14ac:dyDescent="0.35">
      <c r="A10" s="92">
        <v>46108</v>
      </c>
      <c r="B10" s="102" t="s">
        <v>254</v>
      </c>
      <c r="C10" s="94" t="s">
        <v>252</v>
      </c>
      <c r="D10" s="105" t="s">
        <v>37</v>
      </c>
      <c r="E10" s="71">
        <v>901325</v>
      </c>
      <c r="F10" s="75" t="s">
        <v>41</v>
      </c>
      <c r="G10" s="71" t="s">
        <v>28</v>
      </c>
      <c r="H10" s="71">
        <v>50</v>
      </c>
      <c r="I10" s="71">
        <v>50</v>
      </c>
      <c r="J10" s="71">
        <v>2205</v>
      </c>
      <c r="K10" s="76">
        <v>2.2675736961451247E-2</v>
      </c>
    </row>
    <row r="11" spans="1:11" ht="29" customHeight="1" x14ac:dyDescent="0.35">
      <c r="A11" s="92">
        <v>46108</v>
      </c>
      <c r="B11" s="102" t="s">
        <v>254</v>
      </c>
      <c r="C11" s="94" t="s">
        <v>252</v>
      </c>
      <c r="D11" s="105" t="s">
        <v>37</v>
      </c>
      <c r="E11" s="71">
        <v>901326</v>
      </c>
      <c r="F11" s="75" t="s">
        <v>42</v>
      </c>
      <c r="G11" s="71" t="s">
        <v>28</v>
      </c>
      <c r="H11" s="71">
        <v>50</v>
      </c>
      <c r="I11" s="71">
        <v>50</v>
      </c>
      <c r="J11" s="71">
        <v>1800</v>
      </c>
      <c r="K11" s="76">
        <v>2.7777777777777776E-2</v>
      </c>
    </row>
    <row r="12" spans="1:11" ht="29" customHeight="1" x14ac:dyDescent="0.35">
      <c r="A12" s="92">
        <v>46108</v>
      </c>
      <c r="B12" s="102" t="s">
        <v>254</v>
      </c>
      <c r="C12" s="94" t="s">
        <v>252</v>
      </c>
      <c r="D12" s="105" t="s">
        <v>37</v>
      </c>
      <c r="E12" s="71">
        <v>901328</v>
      </c>
      <c r="F12" s="75" t="s">
        <v>43</v>
      </c>
      <c r="G12" s="71" t="s">
        <v>28</v>
      </c>
      <c r="H12" s="71">
        <v>50</v>
      </c>
      <c r="I12" s="71">
        <v>50</v>
      </c>
      <c r="J12" s="71">
        <v>1170</v>
      </c>
      <c r="K12" s="76">
        <v>4.2735042735042736E-2</v>
      </c>
    </row>
    <row r="13" spans="1:11" ht="29" customHeight="1" x14ac:dyDescent="0.35">
      <c r="A13" s="92">
        <v>46108</v>
      </c>
      <c r="B13" s="102" t="s">
        <v>254</v>
      </c>
      <c r="C13" s="94" t="s">
        <v>252</v>
      </c>
      <c r="D13" s="105" t="s">
        <v>37</v>
      </c>
      <c r="E13" s="71">
        <v>901329</v>
      </c>
      <c r="F13" s="75" t="s">
        <v>44</v>
      </c>
      <c r="G13" s="71" t="s">
        <v>28</v>
      </c>
      <c r="H13" s="71">
        <v>10</v>
      </c>
      <c r="I13" s="71">
        <v>10</v>
      </c>
      <c r="J13" s="71">
        <v>528</v>
      </c>
      <c r="K13" s="76">
        <v>1.893939393939394E-2</v>
      </c>
    </row>
    <row r="14" spans="1:11" ht="29" customHeight="1" x14ac:dyDescent="0.35">
      <c r="A14" s="92">
        <v>46108</v>
      </c>
      <c r="B14" s="102" t="s">
        <v>254</v>
      </c>
      <c r="C14" s="94" t="s">
        <v>252</v>
      </c>
      <c r="D14" s="105" t="s">
        <v>37</v>
      </c>
      <c r="E14" s="71">
        <v>305381</v>
      </c>
      <c r="F14" s="75" t="s">
        <v>47</v>
      </c>
      <c r="G14" s="71" t="s">
        <v>23</v>
      </c>
      <c r="H14" s="71">
        <v>20</v>
      </c>
      <c r="I14" s="71">
        <v>20</v>
      </c>
      <c r="J14" s="71">
        <v>566</v>
      </c>
      <c r="K14" s="76">
        <v>3.5335689045936397E-2</v>
      </c>
    </row>
    <row r="15" spans="1:11" ht="29" customHeight="1" x14ac:dyDescent="0.35">
      <c r="A15" s="92">
        <v>46108</v>
      </c>
      <c r="B15" s="102" t="s">
        <v>254</v>
      </c>
      <c r="C15" s="94" t="s">
        <v>252</v>
      </c>
      <c r="D15" s="105" t="s">
        <v>37</v>
      </c>
      <c r="E15" s="71">
        <v>306384</v>
      </c>
      <c r="F15" s="75" t="s">
        <v>48</v>
      </c>
      <c r="G15" s="71" t="s">
        <v>13</v>
      </c>
      <c r="H15" s="71">
        <v>4</v>
      </c>
      <c r="I15" s="71">
        <v>4</v>
      </c>
      <c r="J15" s="71">
        <v>164</v>
      </c>
      <c r="K15" s="76">
        <v>2.4390243902439025E-2</v>
      </c>
    </row>
    <row r="16" spans="1:11" ht="29" customHeight="1" x14ac:dyDescent="0.35">
      <c r="A16" s="92">
        <v>46108</v>
      </c>
      <c r="B16" s="102" t="s">
        <v>254</v>
      </c>
      <c r="C16" s="94" t="s">
        <v>252</v>
      </c>
      <c r="D16" s="105" t="s">
        <v>37</v>
      </c>
      <c r="E16" s="71">
        <v>306385</v>
      </c>
      <c r="F16" s="75" t="s">
        <v>49</v>
      </c>
      <c r="G16" s="71" t="s">
        <v>13</v>
      </c>
      <c r="H16" s="71">
        <v>2</v>
      </c>
      <c r="I16" s="71">
        <v>2</v>
      </c>
      <c r="J16" s="71">
        <v>102</v>
      </c>
      <c r="K16" s="76">
        <v>1.9607843137254902E-2</v>
      </c>
    </row>
    <row r="17" spans="1:11" ht="29" customHeight="1" x14ac:dyDescent="0.35">
      <c r="A17" s="92">
        <v>46108</v>
      </c>
      <c r="B17" s="102" t="s">
        <v>254</v>
      </c>
      <c r="C17" s="94" t="s">
        <v>252</v>
      </c>
      <c r="D17" s="105" t="s">
        <v>37</v>
      </c>
      <c r="E17" s="71">
        <v>305535</v>
      </c>
      <c r="F17" s="75" t="s">
        <v>51</v>
      </c>
      <c r="G17" s="71" t="s">
        <v>52</v>
      </c>
      <c r="H17" s="71">
        <v>12</v>
      </c>
      <c r="I17" s="71">
        <v>12</v>
      </c>
      <c r="J17" s="71">
        <v>642</v>
      </c>
      <c r="K17" s="76">
        <v>1.8691588785046728E-2</v>
      </c>
    </row>
    <row r="18" spans="1:11" x14ac:dyDescent="0.35">
      <c r="A18" s="97">
        <v>46112</v>
      </c>
      <c r="B18" s="100" t="s">
        <v>57</v>
      </c>
      <c r="C18" s="100" t="s">
        <v>252</v>
      </c>
      <c r="D18" s="104">
        <v>119998</v>
      </c>
      <c r="E18" s="71">
        <v>304810</v>
      </c>
      <c r="F18" s="75" t="s">
        <v>54</v>
      </c>
      <c r="G18" s="71" t="s">
        <v>55</v>
      </c>
      <c r="H18" s="71">
        <v>1000</v>
      </c>
      <c r="I18" s="71">
        <v>1000</v>
      </c>
      <c r="J18" s="71">
        <v>9840</v>
      </c>
      <c r="K18" s="76">
        <f>I18/J18</f>
        <v>0.1016260162601626</v>
      </c>
    </row>
    <row r="19" spans="1:11" x14ac:dyDescent="0.35">
      <c r="A19" s="92">
        <v>46119</v>
      </c>
      <c r="B19" s="100" t="s">
        <v>59</v>
      </c>
      <c r="C19" s="94" t="s">
        <v>252</v>
      </c>
      <c r="D19" s="104">
        <v>113007</v>
      </c>
      <c r="E19" s="71">
        <v>300940</v>
      </c>
      <c r="F19" s="75" t="s">
        <v>29</v>
      </c>
      <c r="G19" s="71" t="s">
        <v>23</v>
      </c>
      <c r="H19" s="71">
        <v>2000</v>
      </c>
      <c r="I19" s="71">
        <v>500</v>
      </c>
      <c r="J19" s="71">
        <v>19236</v>
      </c>
      <c r="K19" s="76">
        <f t="shared" ref="K19:K24" si="0">I19/J19</f>
        <v>2.5992929923060928E-2</v>
      </c>
    </row>
    <row r="20" spans="1:11" x14ac:dyDescent="0.35">
      <c r="A20" s="92">
        <v>46119</v>
      </c>
      <c r="B20" s="100" t="s">
        <v>59</v>
      </c>
      <c r="C20" s="94" t="s">
        <v>252</v>
      </c>
      <c r="D20" s="104">
        <v>113007</v>
      </c>
      <c r="E20" s="71">
        <v>301110</v>
      </c>
      <c r="F20" s="75" t="s">
        <v>32</v>
      </c>
      <c r="G20" s="71" t="s">
        <v>23</v>
      </c>
      <c r="H20" s="71">
        <v>1500</v>
      </c>
      <c r="I20" s="71">
        <v>1500</v>
      </c>
      <c r="J20" s="71">
        <v>54360</v>
      </c>
      <c r="K20" s="76">
        <f t="shared" si="0"/>
        <v>2.759381898454746E-2</v>
      </c>
    </row>
    <row r="21" spans="1:11" x14ac:dyDescent="0.35">
      <c r="A21" s="92">
        <v>46119</v>
      </c>
      <c r="B21" s="100" t="s">
        <v>59</v>
      </c>
      <c r="C21" s="94" t="s">
        <v>252</v>
      </c>
      <c r="D21" s="104">
        <v>113007</v>
      </c>
      <c r="E21" s="71">
        <v>301111</v>
      </c>
      <c r="F21" s="75" t="s">
        <v>33</v>
      </c>
      <c r="G21" s="71" t="s">
        <v>23</v>
      </c>
      <c r="H21" s="71">
        <v>1500</v>
      </c>
      <c r="I21" s="71">
        <v>1500</v>
      </c>
      <c r="J21" s="71">
        <v>29808</v>
      </c>
      <c r="K21" s="76">
        <f t="shared" si="0"/>
        <v>5.032206119162641E-2</v>
      </c>
    </row>
    <row r="22" spans="1:11" x14ac:dyDescent="0.35">
      <c r="A22" s="92">
        <v>46119</v>
      </c>
      <c r="B22" s="100" t="s">
        <v>59</v>
      </c>
      <c r="C22" s="94" t="s">
        <v>252</v>
      </c>
      <c r="D22" s="104">
        <v>113007</v>
      </c>
      <c r="E22" s="71">
        <v>301112</v>
      </c>
      <c r="F22" s="75" t="s">
        <v>60</v>
      </c>
      <c r="G22" s="71" t="s">
        <v>23</v>
      </c>
      <c r="H22" s="71">
        <v>1500</v>
      </c>
      <c r="I22" s="71">
        <v>1500</v>
      </c>
      <c r="J22" s="71">
        <v>12432</v>
      </c>
      <c r="K22" s="76">
        <f t="shared" si="0"/>
        <v>0.12065637065637065</v>
      </c>
    </row>
    <row r="23" spans="1:11" x14ac:dyDescent="0.35">
      <c r="A23" s="92">
        <v>46119</v>
      </c>
      <c r="B23" s="100" t="s">
        <v>59</v>
      </c>
      <c r="C23" s="94" t="s">
        <v>252</v>
      </c>
      <c r="D23" s="104">
        <v>113007</v>
      </c>
      <c r="E23" s="71">
        <v>304900</v>
      </c>
      <c r="F23" s="75" t="s">
        <v>61</v>
      </c>
      <c r="G23" s="71" t="s">
        <v>23</v>
      </c>
      <c r="H23" s="71">
        <v>1000</v>
      </c>
      <c r="I23" s="71">
        <v>1000</v>
      </c>
      <c r="J23" s="71">
        <v>41112</v>
      </c>
      <c r="K23" s="76">
        <f t="shared" si="0"/>
        <v>2.4323798404358825E-2</v>
      </c>
    </row>
    <row r="24" spans="1:11" x14ac:dyDescent="0.35">
      <c r="A24" s="92">
        <v>46119</v>
      </c>
      <c r="B24" s="100" t="s">
        <v>59</v>
      </c>
      <c r="C24" s="94" t="s">
        <v>252</v>
      </c>
      <c r="D24" s="104">
        <v>113007</v>
      </c>
      <c r="E24" s="71">
        <v>301131</v>
      </c>
      <c r="F24" s="75" t="s">
        <v>34</v>
      </c>
      <c r="G24" s="71" t="s">
        <v>23</v>
      </c>
      <c r="H24" s="71">
        <v>500</v>
      </c>
      <c r="I24" s="71">
        <v>500</v>
      </c>
      <c r="J24" s="71">
        <v>6432</v>
      </c>
      <c r="K24" s="76">
        <f t="shared" si="0"/>
        <v>7.7736318407960192E-2</v>
      </c>
    </row>
    <row r="25" spans="1:11" x14ac:dyDescent="0.35">
      <c r="A25" s="92">
        <v>46119</v>
      </c>
      <c r="B25" s="100" t="s">
        <v>62</v>
      </c>
      <c r="C25" s="94" t="s">
        <v>252</v>
      </c>
      <c r="D25" s="104">
        <v>113025</v>
      </c>
      <c r="E25" s="71">
        <v>306635</v>
      </c>
      <c r="F25" s="75" t="s">
        <v>63</v>
      </c>
      <c r="G25" s="71" t="s">
        <v>64</v>
      </c>
      <c r="H25" s="71">
        <v>1000</v>
      </c>
      <c r="I25" s="71">
        <v>789</v>
      </c>
      <c r="J25" s="71">
        <v>11448</v>
      </c>
      <c r="K25" s="76">
        <v>6.8920335429769386E-2</v>
      </c>
    </row>
    <row r="26" spans="1:11" x14ac:dyDescent="0.35">
      <c r="A26" s="92">
        <v>46119</v>
      </c>
      <c r="B26" s="100" t="s">
        <v>62</v>
      </c>
      <c r="C26" s="94" t="s">
        <v>252</v>
      </c>
      <c r="D26" s="104">
        <v>113025</v>
      </c>
      <c r="E26" s="71">
        <v>306636</v>
      </c>
      <c r="F26" s="75" t="s">
        <v>65</v>
      </c>
      <c r="G26" s="71" t="s">
        <v>64</v>
      </c>
      <c r="H26" s="71">
        <v>1000</v>
      </c>
      <c r="I26" s="71">
        <v>770</v>
      </c>
      <c r="J26" s="71">
        <v>4860</v>
      </c>
      <c r="K26" s="76">
        <v>0.15843621399176955</v>
      </c>
    </row>
    <row r="27" spans="1:11" x14ac:dyDescent="0.35">
      <c r="A27" s="92">
        <v>46136</v>
      </c>
      <c r="B27" s="100" t="s">
        <v>66</v>
      </c>
      <c r="C27" s="94" t="s">
        <v>252</v>
      </c>
      <c r="D27" s="104">
        <v>113048</v>
      </c>
      <c r="E27" s="71">
        <v>302935</v>
      </c>
      <c r="F27" s="75" t="s">
        <v>67</v>
      </c>
      <c r="G27" s="71" t="s">
        <v>68</v>
      </c>
      <c r="H27" s="71">
        <v>10</v>
      </c>
      <c r="I27" s="71">
        <v>5</v>
      </c>
      <c r="J27" s="71">
        <v>45</v>
      </c>
      <c r="K27" s="76">
        <v>0.1111111111111111</v>
      </c>
    </row>
    <row r="28" spans="1:11" x14ac:dyDescent="0.35">
      <c r="A28" s="92">
        <v>46136</v>
      </c>
      <c r="B28" s="100" t="s">
        <v>66</v>
      </c>
      <c r="C28" s="94" t="s">
        <v>252</v>
      </c>
      <c r="D28" s="104">
        <v>113048</v>
      </c>
      <c r="E28" s="71">
        <v>306398</v>
      </c>
      <c r="F28" s="75" t="s">
        <v>38</v>
      </c>
      <c r="G28" s="71" t="s">
        <v>28</v>
      </c>
      <c r="H28" s="71">
        <v>1000</v>
      </c>
      <c r="I28" s="71">
        <v>592</v>
      </c>
      <c r="J28" s="71">
        <v>6720</v>
      </c>
      <c r="K28" s="76">
        <v>8.8095238095238101E-2</v>
      </c>
    </row>
    <row r="29" spans="1:11" x14ac:dyDescent="0.35">
      <c r="A29" s="92">
        <v>46136</v>
      </c>
      <c r="B29" s="100" t="s">
        <v>66</v>
      </c>
      <c r="C29" s="94" t="s">
        <v>252</v>
      </c>
      <c r="D29" s="104">
        <v>113048</v>
      </c>
      <c r="E29" s="71">
        <v>306403</v>
      </c>
      <c r="F29" s="75" t="s">
        <v>69</v>
      </c>
      <c r="G29" s="71" t="s">
        <v>28</v>
      </c>
      <c r="H29" s="71">
        <v>500</v>
      </c>
      <c r="I29" s="71">
        <v>216</v>
      </c>
      <c r="J29" s="71">
        <v>2688</v>
      </c>
      <c r="K29" s="76">
        <v>8.0357142857142863E-2</v>
      </c>
    </row>
    <row r="30" spans="1:11" x14ac:dyDescent="0.35">
      <c r="A30" s="92">
        <v>46136</v>
      </c>
      <c r="B30" s="100" t="s">
        <v>66</v>
      </c>
      <c r="C30" s="94" t="s">
        <v>252</v>
      </c>
      <c r="D30" s="104">
        <v>113048</v>
      </c>
      <c r="E30" s="71">
        <v>302606</v>
      </c>
      <c r="F30" s="75" t="s">
        <v>72</v>
      </c>
      <c r="G30" s="71" t="s">
        <v>23</v>
      </c>
      <c r="H30" s="71">
        <v>500</v>
      </c>
      <c r="I30" s="71">
        <v>78</v>
      </c>
      <c r="J30" s="71">
        <v>4704</v>
      </c>
      <c r="K30" s="76">
        <v>1.6581632653061226E-2</v>
      </c>
    </row>
    <row r="31" spans="1:11" ht="14.5" customHeight="1" x14ac:dyDescent="0.35">
      <c r="A31" s="92">
        <v>46147</v>
      </c>
      <c r="B31" s="102" t="s">
        <v>255</v>
      </c>
      <c r="C31" s="94" t="s">
        <v>252</v>
      </c>
      <c r="D31" s="104">
        <v>113054</v>
      </c>
      <c r="E31" s="71">
        <v>306140</v>
      </c>
      <c r="F31" s="75" t="s">
        <v>74</v>
      </c>
      <c r="G31" s="71" t="s">
        <v>28</v>
      </c>
      <c r="H31" s="71">
        <v>15</v>
      </c>
      <c r="I31" s="71">
        <v>15</v>
      </c>
      <c r="J31" s="71">
        <v>440</v>
      </c>
      <c r="K31" s="76">
        <v>3.4090909090909088E-2</v>
      </c>
    </row>
    <row r="32" spans="1:11" ht="29" x14ac:dyDescent="0.35">
      <c r="A32" s="92">
        <v>46147</v>
      </c>
      <c r="B32" s="102" t="s">
        <v>255</v>
      </c>
      <c r="C32" s="94" t="s">
        <v>252</v>
      </c>
      <c r="D32" s="104">
        <v>113054</v>
      </c>
      <c r="E32" s="71">
        <v>306398</v>
      </c>
      <c r="F32" s="75" t="s">
        <v>38</v>
      </c>
      <c r="G32" s="71" t="s">
        <v>28</v>
      </c>
      <c r="H32" s="71">
        <v>500</v>
      </c>
      <c r="I32" s="71">
        <v>500</v>
      </c>
      <c r="J32" s="71">
        <v>6720</v>
      </c>
      <c r="K32" s="76">
        <v>7.4404761904761904E-2</v>
      </c>
    </row>
    <row r="33" spans="1:11" ht="29" x14ac:dyDescent="0.35">
      <c r="A33" s="92">
        <v>46147</v>
      </c>
      <c r="B33" s="102" t="s">
        <v>255</v>
      </c>
      <c r="C33" s="94" t="s">
        <v>252</v>
      </c>
      <c r="D33" s="104">
        <v>113054</v>
      </c>
      <c r="E33" s="71">
        <v>306399</v>
      </c>
      <c r="F33" s="75" t="s">
        <v>39</v>
      </c>
      <c r="G33" s="71" t="s">
        <v>28</v>
      </c>
      <c r="H33" s="71">
        <v>500</v>
      </c>
      <c r="I33" s="71">
        <v>500</v>
      </c>
      <c r="J33" s="71">
        <v>3192</v>
      </c>
      <c r="K33" s="76">
        <v>0.15664160401002505</v>
      </c>
    </row>
    <row r="34" spans="1:11" ht="29" x14ac:dyDescent="0.35">
      <c r="A34" s="92">
        <v>46147</v>
      </c>
      <c r="B34" s="102" t="s">
        <v>255</v>
      </c>
      <c r="C34" s="94" t="s">
        <v>252</v>
      </c>
      <c r="D34" s="104">
        <v>113054</v>
      </c>
      <c r="E34" s="71">
        <v>306400</v>
      </c>
      <c r="F34" s="75" t="s">
        <v>40</v>
      </c>
      <c r="G34" s="71" t="s">
        <v>28</v>
      </c>
      <c r="H34" s="71">
        <v>250</v>
      </c>
      <c r="I34" s="71">
        <v>250</v>
      </c>
      <c r="J34" s="71">
        <v>880</v>
      </c>
      <c r="K34" s="76">
        <v>0.28409090909090912</v>
      </c>
    </row>
    <row r="35" spans="1:11" ht="29" x14ac:dyDescent="0.35">
      <c r="A35" s="92">
        <v>46147</v>
      </c>
      <c r="B35" s="102" t="s">
        <v>255</v>
      </c>
      <c r="C35" s="94" t="s">
        <v>252</v>
      </c>
      <c r="D35" s="104">
        <v>113054</v>
      </c>
      <c r="E35" s="71">
        <v>306403</v>
      </c>
      <c r="F35" s="75" t="s">
        <v>69</v>
      </c>
      <c r="G35" s="71" t="s">
        <v>28</v>
      </c>
      <c r="H35" s="71">
        <v>250</v>
      </c>
      <c r="I35" s="71">
        <v>250</v>
      </c>
      <c r="J35" s="71">
        <v>2688</v>
      </c>
      <c r="K35" s="76">
        <v>9.3005952380952384E-2</v>
      </c>
    </row>
    <row r="36" spans="1:11" ht="29" x14ac:dyDescent="0.35">
      <c r="A36" s="92">
        <v>46147</v>
      </c>
      <c r="B36" s="102" t="s">
        <v>255</v>
      </c>
      <c r="C36" s="94" t="s">
        <v>252</v>
      </c>
      <c r="D36" s="104">
        <v>113054</v>
      </c>
      <c r="E36" s="71">
        <v>306404</v>
      </c>
      <c r="F36" s="75" t="s">
        <v>75</v>
      </c>
      <c r="G36" s="71" t="s">
        <v>28</v>
      </c>
      <c r="H36" s="71">
        <v>250</v>
      </c>
      <c r="I36" s="71">
        <v>250</v>
      </c>
      <c r="J36" s="71">
        <v>1584</v>
      </c>
      <c r="K36" s="76">
        <v>0.15782828282828282</v>
      </c>
    </row>
    <row r="37" spans="1:11" ht="29" x14ac:dyDescent="0.35">
      <c r="A37" s="92">
        <v>46147</v>
      </c>
      <c r="B37" s="102" t="s">
        <v>255</v>
      </c>
      <c r="C37" s="94" t="s">
        <v>252</v>
      </c>
      <c r="D37" s="104">
        <v>113054</v>
      </c>
      <c r="E37" s="71">
        <v>306238</v>
      </c>
      <c r="F37" s="75" t="s">
        <v>76</v>
      </c>
      <c r="G37" s="71" t="s">
        <v>28</v>
      </c>
      <c r="H37" s="71">
        <v>50</v>
      </c>
      <c r="I37" s="71">
        <v>50</v>
      </c>
      <c r="J37" s="71">
        <v>624</v>
      </c>
      <c r="K37" s="76">
        <v>8.0128205128205135E-2</v>
      </c>
    </row>
    <row r="38" spans="1:11" ht="29" x14ac:dyDescent="0.35">
      <c r="A38" s="92">
        <v>46147</v>
      </c>
      <c r="B38" s="102" t="s">
        <v>255</v>
      </c>
      <c r="C38" s="94" t="s">
        <v>252</v>
      </c>
      <c r="D38" s="104">
        <v>113054</v>
      </c>
      <c r="E38" s="71">
        <v>300351</v>
      </c>
      <c r="F38" s="75" t="s">
        <v>77</v>
      </c>
      <c r="G38" s="71" t="s">
        <v>28</v>
      </c>
      <c r="H38" s="71">
        <v>96</v>
      </c>
      <c r="I38" s="71">
        <v>96</v>
      </c>
      <c r="J38" s="71">
        <v>1904</v>
      </c>
      <c r="K38" s="76">
        <v>5.0420168067226892E-2</v>
      </c>
    </row>
    <row r="39" spans="1:11" ht="29" x14ac:dyDescent="0.35">
      <c r="A39" s="92">
        <v>46147</v>
      </c>
      <c r="B39" s="102" t="s">
        <v>255</v>
      </c>
      <c r="C39" s="94" t="s">
        <v>252</v>
      </c>
      <c r="D39" s="104">
        <v>113054</v>
      </c>
      <c r="E39" s="71">
        <v>300940</v>
      </c>
      <c r="F39" s="75" t="s">
        <v>29</v>
      </c>
      <c r="G39" s="71" t="s">
        <v>23</v>
      </c>
      <c r="H39" s="71">
        <v>750</v>
      </c>
      <c r="I39" s="71">
        <v>750</v>
      </c>
      <c r="J39" s="71">
        <v>19236</v>
      </c>
      <c r="K39" s="76">
        <v>3.898939488459139E-2</v>
      </c>
    </row>
    <row r="40" spans="1:11" ht="29" x14ac:dyDescent="0.35">
      <c r="A40" s="92">
        <v>46147</v>
      </c>
      <c r="B40" s="102" t="s">
        <v>255</v>
      </c>
      <c r="C40" s="94" t="s">
        <v>252</v>
      </c>
      <c r="D40" s="104">
        <v>113054</v>
      </c>
      <c r="E40" s="71">
        <v>301107</v>
      </c>
      <c r="F40" s="75" t="s">
        <v>30</v>
      </c>
      <c r="G40" s="71" t="s">
        <v>23</v>
      </c>
      <c r="H40" s="71">
        <v>1000</v>
      </c>
      <c r="I40" s="71">
        <v>1000</v>
      </c>
      <c r="J40" s="71">
        <v>11088</v>
      </c>
      <c r="K40" s="76">
        <v>9.0187590187590191E-2</v>
      </c>
    </row>
    <row r="41" spans="1:11" ht="29" x14ac:dyDescent="0.35">
      <c r="A41" s="92">
        <v>46147</v>
      </c>
      <c r="B41" s="102" t="s">
        <v>255</v>
      </c>
      <c r="C41" s="94" t="s">
        <v>252</v>
      </c>
      <c r="D41" s="104">
        <v>113054</v>
      </c>
      <c r="E41" s="71">
        <v>301108</v>
      </c>
      <c r="F41" s="75" t="s">
        <v>31</v>
      </c>
      <c r="G41" s="71" t="s">
        <v>23</v>
      </c>
      <c r="H41" s="71">
        <v>1000</v>
      </c>
      <c r="I41" s="71">
        <v>1000</v>
      </c>
      <c r="J41" s="71">
        <v>6528</v>
      </c>
      <c r="K41" s="76">
        <v>0.15318627450980393</v>
      </c>
    </row>
    <row r="42" spans="1:11" ht="29" x14ac:dyDescent="0.35">
      <c r="A42" s="92">
        <v>46147</v>
      </c>
      <c r="B42" s="102" t="s">
        <v>255</v>
      </c>
      <c r="C42" s="94" t="s">
        <v>252</v>
      </c>
      <c r="D42" s="104">
        <v>113054</v>
      </c>
      <c r="E42" s="71">
        <v>301110</v>
      </c>
      <c r="F42" s="75" t="s">
        <v>32</v>
      </c>
      <c r="G42" s="71" t="s">
        <v>23</v>
      </c>
      <c r="H42" s="71">
        <v>750</v>
      </c>
      <c r="I42" s="71">
        <v>750</v>
      </c>
      <c r="J42" s="71">
        <v>54360</v>
      </c>
      <c r="K42" s="76">
        <v>1.379690949227373E-2</v>
      </c>
    </row>
    <row r="43" spans="1:11" ht="29" x14ac:dyDescent="0.35">
      <c r="A43" s="92">
        <v>46147</v>
      </c>
      <c r="B43" s="102" t="s">
        <v>255</v>
      </c>
      <c r="C43" s="94" t="s">
        <v>252</v>
      </c>
      <c r="D43" s="104">
        <v>113054</v>
      </c>
      <c r="E43" s="71">
        <v>301111</v>
      </c>
      <c r="F43" s="75" t="s">
        <v>33</v>
      </c>
      <c r="G43" s="71" t="s">
        <v>23</v>
      </c>
      <c r="H43" s="71">
        <v>1000</v>
      </c>
      <c r="I43" s="71">
        <v>1000</v>
      </c>
      <c r="J43" s="71">
        <v>29808</v>
      </c>
      <c r="K43" s="76">
        <v>3.3548040794417609E-2</v>
      </c>
    </row>
    <row r="44" spans="1:11" ht="29" x14ac:dyDescent="0.35">
      <c r="A44" s="92">
        <v>46147</v>
      </c>
      <c r="B44" s="102" t="s">
        <v>255</v>
      </c>
      <c r="C44" s="94" t="s">
        <v>252</v>
      </c>
      <c r="D44" s="104">
        <v>113054</v>
      </c>
      <c r="E44" s="71">
        <v>301112</v>
      </c>
      <c r="F44" s="75" t="s">
        <v>60</v>
      </c>
      <c r="G44" s="71" t="s">
        <v>23</v>
      </c>
      <c r="H44" s="71">
        <v>1000</v>
      </c>
      <c r="I44" s="71">
        <v>1000</v>
      </c>
      <c r="J44" s="71">
        <v>12432</v>
      </c>
      <c r="K44" s="76">
        <v>8.0437580437580439E-2</v>
      </c>
    </row>
    <row r="45" spans="1:11" ht="29" x14ac:dyDescent="0.35">
      <c r="A45" s="92">
        <v>46147</v>
      </c>
      <c r="B45" s="102" t="s">
        <v>255</v>
      </c>
      <c r="C45" s="94" t="s">
        <v>252</v>
      </c>
      <c r="D45" s="104">
        <v>113054</v>
      </c>
      <c r="E45" s="71">
        <v>302764</v>
      </c>
      <c r="F45" s="75" t="s">
        <v>79</v>
      </c>
      <c r="G45" s="71" t="s">
        <v>23</v>
      </c>
      <c r="H45" s="71">
        <v>206</v>
      </c>
      <c r="I45" s="71">
        <v>206</v>
      </c>
      <c r="J45" s="71">
        <v>17550</v>
      </c>
      <c r="K45" s="76">
        <v>1.1737891737891738E-2</v>
      </c>
    </row>
    <row r="46" spans="1:11" ht="29" x14ac:dyDescent="0.35">
      <c r="A46" s="92">
        <v>46147</v>
      </c>
      <c r="B46" s="102" t="s">
        <v>255</v>
      </c>
      <c r="C46" s="94" t="s">
        <v>252</v>
      </c>
      <c r="D46" s="104">
        <v>113054</v>
      </c>
      <c r="E46" s="71">
        <v>305381</v>
      </c>
      <c r="F46" s="75" t="s">
        <v>82</v>
      </c>
      <c r="G46" s="71" t="s">
        <v>23</v>
      </c>
      <c r="H46" s="71">
        <v>50</v>
      </c>
      <c r="I46" s="71">
        <v>50</v>
      </c>
      <c r="J46" s="71">
        <v>566</v>
      </c>
      <c r="K46" s="76">
        <v>8.8339222614840993E-2</v>
      </c>
    </row>
    <row r="47" spans="1:11" ht="29" x14ac:dyDescent="0.35">
      <c r="A47" s="92">
        <v>46147</v>
      </c>
      <c r="B47" s="102" t="s">
        <v>255</v>
      </c>
      <c r="C47" s="94" t="s">
        <v>252</v>
      </c>
      <c r="D47" s="104">
        <v>113054</v>
      </c>
      <c r="E47" s="71">
        <v>301111</v>
      </c>
      <c r="F47" s="75" t="s">
        <v>33</v>
      </c>
      <c r="G47" s="71" t="s">
        <v>23</v>
      </c>
      <c r="H47" s="71">
        <v>1500</v>
      </c>
      <c r="I47" s="71">
        <v>1500</v>
      </c>
      <c r="J47" s="71">
        <v>29808</v>
      </c>
      <c r="K47" s="76">
        <v>5.032206119162641E-2</v>
      </c>
    </row>
    <row r="48" spans="1:11" ht="29" x14ac:dyDescent="0.35">
      <c r="A48" s="92">
        <v>46147</v>
      </c>
      <c r="B48" s="102" t="s">
        <v>255</v>
      </c>
      <c r="C48" s="94" t="s">
        <v>252</v>
      </c>
      <c r="D48" s="104">
        <v>113054</v>
      </c>
      <c r="E48" s="71">
        <v>301112</v>
      </c>
      <c r="F48" s="75" t="s">
        <v>60</v>
      </c>
      <c r="G48" s="71" t="s">
        <v>23</v>
      </c>
      <c r="H48" s="71">
        <v>500</v>
      </c>
      <c r="I48" s="71">
        <v>500</v>
      </c>
      <c r="J48" s="71">
        <v>12432</v>
      </c>
      <c r="K48" s="76">
        <v>4.0218790218790219E-2</v>
      </c>
    </row>
    <row r="49" spans="1:11" ht="29" x14ac:dyDescent="0.35">
      <c r="A49" s="92">
        <v>46147</v>
      </c>
      <c r="B49" s="102" t="s">
        <v>255</v>
      </c>
      <c r="C49" s="94" t="s">
        <v>252</v>
      </c>
      <c r="D49" s="104">
        <v>113054</v>
      </c>
      <c r="E49" s="71">
        <v>301131</v>
      </c>
      <c r="F49" s="75" t="s">
        <v>34</v>
      </c>
      <c r="G49" s="71" t="s">
        <v>23</v>
      </c>
      <c r="H49" s="71">
        <v>750</v>
      </c>
      <c r="I49" s="71">
        <v>750</v>
      </c>
      <c r="J49" s="71">
        <v>6432</v>
      </c>
      <c r="K49" s="76">
        <v>0.1166044776119403</v>
      </c>
    </row>
    <row r="50" spans="1:11" ht="29" x14ac:dyDescent="0.35">
      <c r="A50" s="92">
        <v>46147</v>
      </c>
      <c r="B50" s="102" t="s">
        <v>255</v>
      </c>
      <c r="C50" s="94" t="s">
        <v>252</v>
      </c>
      <c r="D50" s="104">
        <v>113054</v>
      </c>
      <c r="E50" s="71">
        <v>302764</v>
      </c>
      <c r="F50" s="75" t="s">
        <v>79</v>
      </c>
      <c r="G50" s="71" t="s">
        <v>23</v>
      </c>
      <c r="H50" s="71">
        <v>1794</v>
      </c>
      <c r="I50" s="71">
        <v>1794</v>
      </c>
      <c r="J50" s="71">
        <v>17550</v>
      </c>
      <c r="K50" s="76">
        <v>0.10222222222222223</v>
      </c>
    </row>
    <row r="51" spans="1:11" ht="29" x14ac:dyDescent="0.35">
      <c r="A51" s="92">
        <v>46147</v>
      </c>
      <c r="B51" s="102" t="s">
        <v>255</v>
      </c>
      <c r="C51" s="94" t="s">
        <v>252</v>
      </c>
      <c r="D51" s="104">
        <v>113054</v>
      </c>
      <c r="E51" s="71">
        <v>304899</v>
      </c>
      <c r="F51" s="75" t="s">
        <v>84</v>
      </c>
      <c r="G51" s="71" t="s">
        <v>23</v>
      </c>
      <c r="H51" s="71">
        <v>1500</v>
      </c>
      <c r="I51" s="71">
        <v>1500</v>
      </c>
      <c r="J51" s="71">
        <v>53280</v>
      </c>
      <c r="K51" s="76">
        <v>2.8153153153153154E-2</v>
      </c>
    </row>
    <row r="52" spans="1:11" ht="29" x14ac:dyDescent="0.35">
      <c r="A52" s="92">
        <v>46147</v>
      </c>
      <c r="B52" s="102" t="s">
        <v>255</v>
      </c>
      <c r="C52" s="94" t="s">
        <v>252</v>
      </c>
      <c r="D52" s="104">
        <v>113054</v>
      </c>
      <c r="E52" s="71">
        <v>304900</v>
      </c>
      <c r="F52" s="75" t="s">
        <v>61</v>
      </c>
      <c r="G52" s="71" t="s">
        <v>23</v>
      </c>
      <c r="H52" s="71">
        <v>750</v>
      </c>
      <c r="I52" s="71">
        <v>750</v>
      </c>
      <c r="J52" s="71">
        <v>41112</v>
      </c>
      <c r="K52" s="76">
        <v>1.8242848803269117E-2</v>
      </c>
    </row>
    <row r="53" spans="1:11" ht="29" x14ac:dyDescent="0.35">
      <c r="A53" s="92">
        <v>46147</v>
      </c>
      <c r="B53" s="102" t="s">
        <v>255</v>
      </c>
      <c r="C53" s="94" t="s">
        <v>252</v>
      </c>
      <c r="D53" s="104">
        <v>113054</v>
      </c>
      <c r="E53" s="71">
        <v>305360</v>
      </c>
      <c r="F53" s="75" t="s">
        <v>257</v>
      </c>
      <c r="G53" s="71" t="s">
        <v>86</v>
      </c>
      <c r="H53" s="71">
        <v>50</v>
      </c>
      <c r="I53" s="71">
        <v>50</v>
      </c>
      <c r="J53" s="71">
        <v>864</v>
      </c>
      <c r="K53" s="76">
        <v>5.7870370370370371E-2</v>
      </c>
    </row>
    <row r="54" spans="1:11" ht="29" x14ac:dyDescent="0.35">
      <c r="A54" s="92">
        <v>46147</v>
      </c>
      <c r="B54" s="102" t="s">
        <v>255</v>
      </c>
      <c r="C54" s="94" t="s">
        <v>252</v>
      </c>
      <c r="D54" s="104">
        <v>113054</v>
      </c>
      <c r="E54" s="71">
        <v>302606</v>
      </c>
      <c r="F54" s="75" t="s">
        <v>72</v>
      </c>
      <c r="G54" s="71" t="s">
        <v>23</v>
      </c>
      <c r="H54" s="71">
        <v>500</v>
      </c>
      <c r="I54" s="71">
        <v>500</v>
      </c>
      <c r="J54" s="71">
        <v>4704</v>
      </c>
      <c r="K54" s="76">
        <v>0.10629251700680271</v>
      </c>
    </row>
    <row r="55" spans="1:11" x14ac:dyDescent="0.35">
      <c r="A55" s="92">
        <v>46162</v>
      </c>
      <c r="B55" s="100" t="s">
        <v>89</v>
      </c>
      <c r="C55" s="94" t="s">
        <v>256</v>
      </c>
      <c r="D55" s="104">
        <v>113084</v>
      </c>
      <c r="E55" s="71">
        <v>306542</v>
      </c>
      <c r="F55" s="75" t="s">
        <v>90</v>
      </c>
      <c r="G55" s="71" t="s">
        <v>28</v>
      </c>
      <c r="H55" s="71">
        <v>200</v>
      </c>
      <c r="I55" s="71">
        <v>200</v>
      </c>
      <c r="J55" s="71">
        <v>29952</v>
      </c>
      <c r="K55" s="76">
        <v>6.677350427350427E-3</v>
      </c>
    </row>
    <row r="56" spans="1:11" x14ac:dyDescent="0.35">
      <c r="A56" s="92">
        <v>46162</v>
      </c>
      <c r="B56" s="100" t="s">
        <v>89</v>
      </c>
      <c r="C56" s="94" t="s">
        <v>269</v>
      </c>
      <c r="D56" s="104">
        <v>113084</v>
      </c>
      <c r="E56" s="71">
        <v>306543</v>
      </c>
      <c r="F56" s="75" t="s">
        <v>91</v>
      </c>
      <c r="G56" s="71" t="s">
        <v>28</v>
      </c>
      <c r="H56" s="71">
        <v>140</v>
      </c>
      <c r="I56" s="71">
        <v>140</v>
      </c>
      <c r="J56" s="71">
        <v>17712</v>
      </c>
      <c r="K56" s="76">
        <v>7.9042457091237587E-3</v>
      </c>
    </row>
    <row r="57" spans="1:11" x14ac:dyDescent="0.35">
      <c r="A57" s="92">
        <v>46162</v>
      </c>
      <c r="B57" s="100" t="s">
        <v>89</v>
      </c>
      <c r="C57" s="94" t="s">
        <v>270</v>
      </c>
      <c r="D57" s="104">
        <v>113084</v>
      </c>
      <c r="E57" s="71">
        <v>306544</v>
      </c>
      <c r="F57" s="75" t="s">
        <v>92</v>
      </c>
      <c r="G57" s="71" t="s">
        <v>28</v>
      </c>
      <c r="H57" s="71">
        <v>100</v>
      </c>
      <c r="I57" s="71">
        <v>100</v>
      </c>
      <c r="J57" s="71">
        <v>11520</v>
      </c>
      <c r="K57" s="76">
        <v>8.6805555555555559E-3</v>
      </c>
    </row>
    <row r="58" spans="1:11" x14ac:dyDescent="0.35">
      <c r="A58" s="92">
        <v>46162</v>
      </c>
      <c r="B58" s="100" t="s">
        <v>89</v>
      </c>
      <c r="C58" s="94" t="s">
        <v>271</v>
      </c>
      <c r="D58" s="104">
        <v>113084</v>
      </c>
      <c r="E58" s="71">
        <v>306682</v>
      </c>
      <c r="F58" s="75" t="s">
        <v>93</v>
      </c>
      <c r="G58" s="71" t="s">
        <v>94</v>
      </c>
      <c r="H58" s="71">
        <v>4</v>
      </c>
      <c r="I58" s="71">
        <v>4</v>
      </c>
      <c r="J58" s="71">
        <v>16</v>
      </c>
      <c r="K58" s="76">
        <v>0.25</v>
      </c>
    </row>
    <row r="59" spans="1:11" x14ac:dyDescent="0.35">
      <c r="A59" s="92">
        <v>46163</v>
      </c>
      <c r="B59" s="100" t="s">
        <v>96</v>
      </c>
      <c r="C59" s="94" t="s">
        <v>252</v>
      </c>
      <c r="D59" s="104">
        <v>113088</v>
      </c>
      <c r="E59" s="71">
        <v>901325</v>
      </c>
      <c r="F59" s="75" t="s">
        <v>97</v>
      </c>
      <c r="G59" s="71" t="s">
        <v>28</v>
      </c>
      <c r="H59" s="71">
        <v>500</v>
      </c>
      <c r="I59" s="71">
        <v>500</v>
      </c>
      <c r="J59" s="71">
        <v>2205</v>
      </c>
      <c r="K59" s="76">
        <v>0.22675736961451248</v>
      </c>
    </row>
    <row r="60" spans="1:11" x14ac:dyDescent="0.35">
      <c r="A60" s="92">
        <v>46163</v>
      </c>
      <c r="B60" s="100" t="s">
        <v>96</v>
      </c>
      <c r="C60" s="94" t="s">
        <v>252</v>
      </c>
      <c r="D60" s="104">
        <v>113088</v>
      </c>
      <c r="E60" s="71">
        <v>901327</v>
      </c>
      <c r="F60" s="75" t="s">
        <v>98</v>
      </c>
      <c r="G60" s="71" t="s">
        <v>28</v>
      </c>
      <c r="H60" s="71">
        <v>750</v>
      </c>
      <c r="I60" s="71">
        <v>750</v>
      </c>
      <c r="J60" s="71">
        <v>1260</v>
      </c>
      <c r="K60" s="76">
        <v>0.59523809523809523</v>
      </c>
    </row>
    <row r="61" spans="1:11" x14ac:dyDescent="0.35">
      <c r="A61" s="92">
        <v>46163</v>
      </c>
      <c r="B61" s="100" t="s">
        <v>96</v>
      </c>
      <c r="C61" s="94" t="s">
        <v>252</v>
      </c>
      <c r="D61" s="104">
        <v>113088</v>
      </c>
      <c r="E61" s="71">
        <v>901329</v>
      </c>
      <c r="F61" s="75" t="s">
        <v>44</v>
      </c>
      <c r="G61" s="71" t="s">
        <v>28</v>
      </c>
      <c r="H61" s="71">
        <v>300</v>
      </c>
      <c r="I61" s="71">
        <v>262</v>
      </c>
      <c r="J61" s="71">
        <v>528</v>
      </c>
      <c r="K61" s="76">
        <v>0.49621212121212122</v>
      </c>
    </row>
    <row r="62" spans="1:11" x14ac:dyDescent="0.35">
      <c r="A62" s="92">
        <v>46163</v>
      </c>
      <c r="B62" s="100" t="s">
        <v>96</v>
      </c>
      <c r="C62" s="94" t="s">
        <v>252</v>
      </c>
      <c r="D62" s="104">
        <v>113088</v>
      </c>
      <c r="E62" s="71">
        <v>305979</v>
      </c>
      <c r="F62" s="75" t="s">
        <v>97</v>
      </c>
      <c r="G62" s="71" t="s">
        <v>23</v>
      </c>
      <c r="H62" s="71">
        <v>100</v>
      </c>
      <c r="I62" s="71">
        <v>30</v>
      </c>
      <c r="J62" s="71">
        <v>1040</v>
      </c>
      <c r="K62" s="76">
        <v>2.8846153846153848E-2</v>
      </c>
    </row>
    <row r="63" spans="1:11" x14ac:dyDescent="0.35">
      <c r="A63" s="92">
        <v>46163</v>
      </c>
      <c r="B63" s="100" t="s">
        <v>96</v>
      </c>
      <c r="C63" s="94" t="s">
        <v>252</v>
      </c>
      <c r="D63" s="104">
        <v>113088</v>
      </c>
      <c r="E63" s="71">
        <v>302606</v>
      </c>
      <c r="F63" s="75" t="s">
        <v>72</v>
      </c>
      <c r="G63" s="71" t="s">
        <v>23</v>
      </c>
      <c r="H63" s="71">
        <v>250</v>
      </c>
      <c r="I63" s="71">
        <v>250</v>
      </c>
      <c r="J63" s="71">
        <v>4704</v>
      </c>
      <c r="K63" s="76">
        <v>5.3146258503401357E-2</v>
      </c>
    </row>
    <row r="64" spans="1:11" x14ac:dyDescent="0.35">
      <c r="A64" s="97">
        <v>46176</v>
      </c>
      <c r="B64" s="100" t="s">
        <v>107</v>
      </c>
      <c r="C64" s="100" t="s">
        <v>252</v>
      </c>
      <c r="D64" s="104">
        <v>112953</v>
      </c>
      <c r="E64" s="71">
        <v>306535</v>
      </c>
      <c r="F64" s="75" t="s">
        <v>108</v>
      </c>
      <c r="G64" s="71" t="s">
        <v>23</v>
      </c>
      <c r="H64" s="71">
        <v>80</v>
      </c>
      <c r="I64" s="71">
        <v>80</v>
      </c>
      <c r="J64" s="71">
        <v>9380</v>
      </c>
      <c r="K64" s="76">
        <v>8.5287846481876331E-3</v>
      </c>
    </row>
    <row r="65" spans="1:11" ht="14.5" customHeight="1" x14ac:dyDescent="0.35">
      <c r="A65" s="92">
        <v>46176</v>
      </c>
      <c r="B65" s="102" t="s">
        <v>258</v>
      </c>
      <c r="C65" s="93" t="s">
        <v>252</v>
      </c>
      <c r="D65" s="104">
        <v>113106</v>
      </c>
      <c r="E65" s="71">
        <v>302268</v>
      </c>
      <c r="F65" s="75" t="s">
        <v>110</v>
      </c>
      <c r="G65" s="71" t="s">
        <v>28</v>
      </c>
      <c r="H65" s="71">
        <v>500</v>
      </c>
      <c r="I65" s="71">
        <v>500</v>
      </c>
      <c r="J65" s="71">
        <v>13020</v>
      </c>
      <c r="K65" s="76">
        <v>3.840245775729647E-2</v>
      </c>
    </row>
    <row r="66" spans="1:11" ht="29" x14ac:dyDescent="0.35">
      <c r="A66" s="97">
        <v>46176</v>
      </c>
      <c r="B66" s="102" t="s">
        <v>258</v>
      </c>
      <c r="C66" s="93" t="s">
        <v>252</v>
      </c>
      <c r="D66" s="104">
        <v>113106</v>
      </c>
      <c r="E66" s="71">
        <v>303262</v>
      </c>
      <c r="F66" s="75" t="s">
        <v>111</v>
      </c>
      <c r="G66" s="71" t="s">
        <v>23</v>
      </c>
      <c r="H66" s="71">
        <v>3</v>
      </c>
      <c r="I66" s="71">
        <v>3</v>
      </c>
      <c r="J66" s="71">
        <v>28</v>
      </c>
      <c r="K66" s="76">
        <v>0.10714285714285714</v>
      </c>
    </row>
    <row r="67" spans="1:11" ht="29" x14ac:dyDescent="0.35">
      <c r="A67" s="92">
        <v>46176</v>
      </c>
      <c r="B67" s="102" t="s">
        <v>258</v>
      </c>
      <c r="C67" s="93" t="s">
        <v>252</v>
      </c>
      <c r="D67" s="104">
        <v>113106</v>
      </c>
      <c r="E67" s="71">
        <v>305644</v>
      </c>
      <c r="F67" s="75" t="s">
        <v>106</v>
      </c>
      <c r="G67" s="71" t="s">
        <v>23</v>
      </c>
      <c r="H67" s="71">
        <v>75</v>
      </c>
      <c r="I67" s="71">
        <v>75</v>
      </c>
      <c r="J67" s="71">
        <v>588</v>
      </c>
      <c r="K67" s="76">
        <v>0.12755102040816327</v>
      </c>
    </row>
    <row r="68" spans="1:11" ht="29" x14ac:dyDescent="0.35">
      <c r="A68" s="97">
        <v>46176</v>
      </c>
      <c r="B68" s="102" t="s">
        <v>258</v>
      </c>
      <c r="C68" s="93" t="s">
        <v>252</v>
      </c>
      <c r="D68" s="104">
        <v>113106</v>
      </c>
      <c r="E68" s="71">
        <v>306535</v>
      </c>
      <c r="F68" s="75" t="s">
        <v>108</v>
      </c>
      <c r="G68" s="71" t="s">
        <v>23</v>
      </c>
      <c r="H68" s="71">
        <v>20</v>
      </c>
      <c r="I68" s="71">
        <v>20</v>
      </c>
      <c r="J68" s="71">
        <v>9380</v>
      </c>
      <c r="K68" s="76">
        <v>2.1321961620469083E-3</v>
      </c>
    </row>
    <row r="69" spans="1:11" ht="29" x14ac:dyDescent="0.35">
      <c r="A69" s="92">
        <v>46176</v>
      </c>
      <c r="B69" s="102" t="s">
        <v>258</v>
      </c>
      <c r="C69" s="93" t="s">
        <v>252</v>
      </c>
      <c r="D69" s="104">
        <v>113106</v>
      </c>
      <c r="E69" s="71">
        <v>306536</v>
      </c>
      <c r="F69" s="75" t="s">
        <v>115</v>
      </c>
      <c r="G69" s="71" t="s">
        <v>116</v>
      </c>
      <c r="H69" s="71">
        <v>20</v>
      </c>
      <c r="I69" s="71">
        <v>20</v>
      </c>
      <c r="J69" s="71">
        <v>4160</v>
      </c>
      <c r="K69" s="76">
        <v>4.807692307692308E-3</v>
      </c>
    </row>
    <row r="70" spans="1:11" ht="29" x14ac:dyDescent="0.35">
      <c r="A70" s="97">
        <v>46176</v>
      </c>
      <c r="B70" s="102" t="s">
        <v>258</v>
      </c>
      <c r="C70" s="93" t="s">
        <v>252</v>
      </c>
      <c r="D70" s="104">
        <v>113106</v>
      </c>
      <c r="E70" s="71">
        <v>304703</v>
      </c>
      <c r="F70" s="75" t="s">
        <v>119</v>
      </c>
      <c r="G70" s="71" t="s">
        <v>23</v>
      </c>
      <c r="H70" s="71">
        <v>6</v>
      </c>
      <c r="I70" s="71">
        <v>6</v>
      </c>
      <c r="J70" s="71"/>
      <c r="K70" s="76"/>
    </row>
    <row r="71" spans="1:11" ht="29" x14ac:dyDescent="0.35">
      <c r="A71" s="92">
        <v>46176</v>
      </c>
      <c r="B71" s="102" t="s">
        <v>258</v>
      </c>
      <c r="C71" s="93" t="s">
        <v>252</v>
      </c>
      <c r="D71" s="104">
        <v>113106</v>
      </c>
      <c r="E71" s="71">
        <v>300940</v>
      </c>
      <c r="F71" s="75" t="s">
        <v>29</v>
      </c>
      <c r="G71" s="71" t="s">
        <v>23</v>
      </c>
      <c r="H71" s="71">
        <v>2000</v>
      </c>
      <c r="I71" s="71">
        <v>2000</v>
      </c>
      <c r="J71" s="71">
        <v>19236</v>
      </c>
      <c r="K71" s="76">
        <v>0.10397171969224371</v>
      </c>
    </row>
    <row r="72" spans="1:11" ht="29" x14ac:dyDescent="0.35">
      <c r="A72" s="97">
        <v>46176</v>
      </c>
      <c r="B72" s="102" t="s">
        <v>258</v>
      </c>
      <c r="C72" s="93" t="s">
        <v>252</v>
      </c>
      <c r="D72" s="104">
        <v>113106</v>
      </c>
      <c r="E72" s="71">
        <v>301107</v>
      </c>
      <c r="F72" s="75" t="s">
        <v>30</v>
      </c>
      <c r="G72" s="71" t="s">
        <v>23</v>
      </c>
      <c r="H72" s="71">
        <v>1000</v>
      </c>
      <c r="I72" s="71">
        <v>1000</v>
      </c>
      <c r="J72" s="71">
        <v>11088</v>
      </c>
      <c r="K72" s="76">
        <v>9.0187590187590191E-2</v>
      </c>
    </row>
    <row r="73" spans="1:11" ht="29" x14ac:dyDescent="0.35">
      <c r="A73" s="92">
        <v>46176</v>
      </c>
      <c r="B73" s="102" t="s">
        <v>258</v>
      </c>
      <c r="C73" s="93" t="s">
        <v>252</v>
      </c>
      <c r="D73" s="104">
        <v>113106</v>
      </c>
      <c r="E73" s="71">
        <v>301108</v>
      </c>
      <c r="F73" s="75" t="s">
        <v>31</v>
      </c>
      <c r="G73" s="71" t="s">
        <v>23</v>
      </c>
      <c r="H73" s="71">
        <v>2000</v>
      </c>
      <c r="I73" s="71">
        <v>2000</v>
      </c>
      <c r="J73" s="71">
        <v>6528</v>
      </c>
      <c r="K73" s="76">
        <v>0.30637254901960786</v>
      </c>
    </row>
    <row r="74" spans="1:11" ht="29" x14ac:dyDescent="0.35">
      <c r="A74" s="97">
        <v>46176</v>
      </c>
      <c r="B74" s="102" t="s">
        <v>258</v>
      </c>
      <c r="C74" s="93" t="s">
        <v>252</v>
      </c>
      <c r="D74" s="104">
        <v>113106</v>
      </c>
      <c r="E74" s="71">
        <v>301110</v>
      </c>
      <c r="F74" s="75" t="s">
        <v>32</v>
      </c>
      <c r="G74" s="71" t="s">
        <v>23</v>
      </c>
      <c r="H74" s="71">
        <v>1500</v>
      </c>
      <c r="I74" s="71">
        <v>1500</v>
      </c>
      <c r="J74" s="71">
        <v>54360</v>
      </c>
      <c r="K74" s="76">
        <v>2.759381898454746E-2</v>
      </c>
    </row>
    <row r="75" spans="1:11" ht="29" x14ac:dyDescent="0.35">
      <c r="A75" s="92">
        <v>46176</v>
      </c>
      <c r="B75" s="102" t="s">
        <v>258</v>
      </c>
      <c r="C75" s="93" t="s">
        <v>252</v>
      </c>
      <c r="D75" s="104">
        <v>113106</v>
      </c>
      <c r="E75" s="71">
        <v>301111</v>
      </c>
      <c r="F75" s="75" t="s">
        <v>33</v>
      </c>
      <c r="G75" s="71" t="s">
        <v>23</v>
      </c>
      <c r="H75" s="71">
        <v>2500</v>
      </c>
      <c r="I75" s="71">
        <v>2500</v>
      </c>
      <c r="J75" s="71">
        <v>29808</v>
      </c>
      <c r="K75" s="76">
        <v>8.3870101986044013E-2</v>
      </c>
    </row>
    <row r="76" spans="1:11" ht="29" x14ac:dyDescent="0.35">
      <c r="A76" s="97">
        <v>46176</v>
      </c>
      <c r="B76" s="102" t="s">
        <v>258</v>
      </c>
      <c r="C76" s="93" t="s">
        <v>252</v>
      </c>
      <c r="D76" s="104">
        <v>113106</v>
      </c>
      <c r="E76" s="71">
        <v>301112</v>
      </c>
      <c r="F76" s="75" t="s">
        <v>60</v>
      </c>
      <c r="G76" s="71" t="s">
        <v>23</v>
      </c>
      <c r="H76" s="71">
        <v>2000</v>
      </c>
      <c r="I76" s="71">
        <v>2000</v>
      </c>
      <c r="J76" s="71">
        <v>12432</v>
      </c>
      <c r="K76" s="76">
        <v>0.16087516087516088</v>
      </c>
    </row>
    <row r="77" spans="1:11" ht="29" x14ac:dyDescent="0.35">
      <c r="A77" s="92">
        <v>46176</v>
      </c>
      <c r="B77" s="102" t="s">
        <v>258</v>
      </c>
      <c r="C77" s="93" t="s">
        <v>252</v>
      </c>
      <c r="D77" s="104">
        <v>113106</v>
      </c>
      <c r="E77" s="71">
        <v>302763</v>
      </c>
      <c r="F77" s="75" t="s">
        <v>122</v>
      </c>
      <c r="G77" s="71" t="s">
        <v>23</v>
      </c>
      <c r="H77" s="71">
        <v>2000</v>
      </c>
      <c r="I77" s="71">
        <v>2000</v>
      </c>
      <c r="J77" s="71">
        <v>24900</v>
      </c>
      <c r="K77" s="76">
        <v>8.0321285140562249E-2</v>
      </c>
    </row>
    <row r="78" spans="1:11" ht="29" x14ac:dyDescent="0.35">
      <c r="A78" s="97">
        <v>46176</v>
      </c>
      <c r="B78" s="102" t="s">
        <v>258</v>
      </c>
      <c r="C78" s="93" t="s">
        <v>252</v>
      </c>
      <c r="D78" s="104">
        <v>113106</v>
      </c>
      <c r="E78" s="71">
        <v>302764</v>
      </c>
      <c r="F78" s="75" t="s">
        <v>79</v>
      </c>
      <c r="G78" s="71" t="s">
        <v>23</v>
      </c>
      <c r="H78" s="71">
        <v>1500</v>
      </c>
      <c r="I78" s="71">
        <v>1500</v>
      </c>
      <c r="J78" s="71">
        <v>17550</v>
      </c>
      <c r="K78" s="76">
        <v>8.5470085470085472E-2</v>
      </c>
    </row>
    <row r="79" spans="1:11" ht="29" x14ac:dyDescent="0.35">
      <c r="A79" s="92">
        <v>46176</v>
      </c>
      <c r="B79" s="102" t="s">
        <v>258</v>
      </c>
      <c r="C79" s="93" t="s">
        <v>252</v>
      </c>
      <c r="D79" s="104">
        <v>113106</v>
      </c>
      <c r="E79" s="71">
        <v>304899</v>
      </c>
      <c r="F79" s="75" t="s">
        <v>84</v>
      </c>
      <c r="G79" s="71" t="s">
        <v>23</v>
      </c>
      <c r="H79" s="71">
        <v>1000</v>
      </c>
      <c r="I79" s="71">
        <v>1000</v>
      </c>
      <c r="J79" s="71">
        <v>53280</v>
      </c>
      <c r="K79" s="76">
        <v>1.8768768768768769E-2</v>
      </c>
    </row>
    <row r="80" spans="1:11" ht="29" x14ac:dyDescent="0.35">
      <c r="A80" s="97">
        <v>46176</v>
      </c>
      <c r="B80" s="102" t="s">
        <v>258</v>
      </c>
      <c r="C80" s="93" t="s">
        <v>252</v>
      </c>
      <c r="D80" s="104">
        <v>113106</v>
      </c>
      <c r="E80" s="71">
        <v>304900</v>
      </c>
      <c r="F80" s="75" t="s">
        <v>61</v>
      </c>
      <c r="G80" s="71" t="s">
        <v>23</v>
      </c>
      <c r="H80" s="71">
        <v>500</v>
      </c>
      <c r="I80" s="71">
        <v>500</v>
      </c>
      <c r="J80" s="71">
        <v>41112</v>
      </c>
      <c r="K80" s="76">
        <v>1.2161899202179412E-2</v>
      </c>
    </row>
    <row r="81" spans="1:11" x14ac:dyDescent="0.35">
      <c r="A81" s="97">
        <v>46176</v>
      </c>
      <c r="B81" s="100" t="s">
        <v>124</v>
      </c>
      <c r="C81" s="100" t="s">
        <v>252</v>
      </c>
      <c r="D81" s="104">
        <v>113108</v>
      </c>
      <c r="E81" s="71">
        <v>800659</v>
      </c>
      <c r="F81" s="75" t="s">
        <v>104</v>
      </c>
      <c r="G81" s="71" t="s">
        <v>23</v>
      </c>
      <c r="H81" s="71">
        <v>2500</v>
      </c>
      <c r="I81" s="71">
        <v>1034</v>
      </c>
      <c r="J81" s="71">
        <v>3366</v>
      </c>
      <c r="K81" s="76">
        <v>0.30718954248366015</v>
      </c>
    </row>
    <row r="82" spans="1:11" x14ac:dyDescent="0.35">
      <c r="A82" s="92">
        <v>46176</v>
      </c>
      <c r="B82" s="100" t="s">
        <v>126</v>
      </c>
      <c r="C82" s="94" t="s">
        <v>252</v>
      </c>
      <c r="D82" s="104">
        <v>113110</v>
      </c>
      <c r="E82" s="71">
        <v>305540</v>
      </c>
      <c r="F82" s="75" t="s">
        <v>127</v>
      </c>
      <c r="G82" s="71" t="s">
        <v>103</v>
      </c>
      <c r="H82" s="71">
        <v>100</v>
      </c>
      <c r="I82" s="71">
        <v>100</v>
      </c>
      <c r="J82" s="71">
        <v>170</v>
      </c>
      <c r="K82" s="76">
        <v>0.58823529411764708</v>
      </c>
    </row>
    <row r="83" spans="1:11" x14ac:dyDescent="0.35">
      <c r="A83" s="97">
        <v>46176</v>
      </c>
      <c r="B83" s="100" t="s">
        <v>126</v>
      </c>
      <c r="C83" s="94" t="s">
        <v>252</v>
      </c>
      <c r="D83" s="104">
        <v>113110</v>
      </c>
      <c r="E83" s="71">
        <v>300059</v>
      </c>
      <c r="F83" s="75" t="s">
        <v>128</v>
      </c>
      <c r="G83" s="71" t="s">
        <v>129</v>
      </c>
      <c r="H83" s="71">
        <v>50</v>
      </c>
      <c r="I83" s="71">
        <v>50</v>
      </c>
      <c r="J83" s="71">
        <v>170</v>
      </c>
      <c r="K83" s="76">
        <v>0.29411764705882354</v>
      </c>
    </row>
    <row r="84" spans="1:11" x14ac:dyDescent="0.35">
      <c r="A84" s="97">
        <v>46177</v>
      </c>
      <c r="B84" s="100" t="s">
        <v>130</v>
      </c>
      <c r="C84" s="100" t="s">
        <v>252</v>
      </c>
      <c r="D84" s="104">
        <v>113111</v>
      </c>
      <c r="E84" s="71">
        <v>306693</v>
      </c>
      <c r="F84" s="75" t="s">
        <v>131</v>
      </c>
      <c r="G84" s="71" t="s">
        <v>132</v>
      </c>
      <c r="H84" s="71">
        <v>10</v>
      </c>
      <c r="I84" s="71">
        <v>10</v>
      </c>
      <c r="J84" s="71">
        <v>147</v>
      </c>
      <c r="K84" s="76">
        <v>6.8027210884353748E-2</v>
      </c>
    </row>
    <row r="85" spans="1:11" x14ac:dyDescent="0.35">
      <c r="A85" s="92">
        <v>46183</v>
      </c>
      <c r="B85" s="100" t="s">
        <v>134</v>
      </c>
      <c r="C85" s="94" t="s">
        <v>252</v>
      </c>
      <c r="D85" s="104">
        <v>113119</v>
      </c>
      <c r="E85" s="71">
        <v>305420</v>
      </c>
      <c r="F85" s="75" t="s">
        <v>135</v>
      </c>
      <c r="G85" s="71" t="s">
        <v>23</v>
      </c>
      <c r="H85" s="71">
        <v>6</v>
      </c>
      <c r="I85" s="71">
        <v>6</v>
      </c>
      <c r="J85" s="71">
        <v>1064</v>
      </c>
      <c r="K85" s="76">
        <v>5.6390977443609019E-3</v>
      </c>
    </row>
    <row r="86" spans="1:11" x14ac:dyDescent="0.35">
      <c r="A86" s="92">
        <v>46183</v>
      </c>
      <c r="B86" s="100" t="s">
        <v>134</v>
      </c>
      <c r="C86" s="94" t="s">
        <v>252</v>
      </c>
      <c r="D86" s="104">
        <v>113119</v>
      </c>
      <c r="E86" s="71">
        <v>303448</v>
      </c>
      <c r="F86" s="75" t="s">
        <v>136</v>
      </c>
      <c r="G86" s="71" t="s">
        <v>27</v>
      </c>
      <c r="H86" s="71">
        <v>30</v>
      </c>
      <c r="I86" s="71">
        <v>30</v>
      </c>
      <c r="J86" s="71">
        <v>2760</v>
      </c>
      <c r="K86" s="76">
        <v>1.0869565217391304E-2</v>
      </c>
    </row>
    <row r="87" spans="1:11" x14ac:dyDescent="0.35">
      <c r="A87" s="92">
        <v>46183</v>
      </c>
      <c r="B87" s="100" t="s">
        <v>134</v>
      </c>
      <c r="C87" s="94" t="s">
        <v>252</v>
      </c>
      <c r="D87" s="104">
        <v>113119</v>
      </c>
      <c r="E87" s="71">
        <v>304670</v>
      </c>
      <c r="F87" s="75" t="s">
        <v>102</v>
      </c>
      <c r="G87" s="71" t="s">
        <v>27</v>
      </c>
      <c r="H87" s="71">
        <v>30</v>
      </c>
      <c r="I87" s="71">
        <v>30</v>
      </c>
      <c r="J87" s="71">
        <v>6384</v>
      </c>
      <c r="K87" s="76">
        <v>4.6992481203007516E-3</v>
      </c>
    </row>
    <row r="88" spans="1:11" x14ac:dyDescent="0.35">
      <c r="A88" s="92">
        <v>46184</v>
      </c>
      <c r="B88" s="100" t="s">
        <v>137</v>
      </c>
      <c r="C88" s="94" t="s">
        <v>252</v>
      </c>
      <c r="D88" s="104">
        <v>113124</v>
      </c>
      <c r="E88" s="71">
        <v>305905</v>
      </c>
      <c r="F88" s="75" t="s">
        <v>138</v>
      </c>
      <c r="G88" s="71" t="s">
        <v>28</v>
      </c>
      <c r="H88" s="71">
        <v>20</v>
      </c>
      <c r="I88" s="71">
        <v>20</v>
      </c>
      <c r="J88" s="71">
        <v>1170</v>
      </c>
      <c r="K88" s="76">
        <v>1.7094017094017096E-2</v>
      </c>
    </row>
    <row r="89" spans="1:11" x14ac:dyDescent="0.35">
      <c r="A89" s="92">
        <v>46184</v>
      </c>
      <c r="B89" s="100" t="s">
        <v>137</v>
      </c>
      <c r="C89" s="94" t="s">
        <v>252</v>
      </c>
      <c r="D89" s="104">
        <v>113124</v>
      </c>
      <c r="E89" s="71">
        <v>305906</v>
      </c>
      <c r="F89" s="75" t="s">
        <v>139</v>
      </c>
      <c r="G89" s="71" t="s">
        <v>28</v>
      </c>
      <c r="H89" s="71">
        <v>32</v>
      </c>
      <c r="I89" s="71">
        <v>32</v>
      </c>
      <c r="J89" s="71">
        <v>768</v>
      </c>
      <c r="K89" s="76">
        <v>4.1666666666666664E-2</v>
      </c>
    </row>
    <row r="90" spans="1:11" x14ac:dyDescent="0.35">
      <c r="A90" s="92">
        <v>46184</v>
      </c>
      <c r="B90" s="100" t="s">
        <v>137</v>
      </c>
      <c r="C90" s="94" t="s">
        <v>252</v>
      </c>
      <c r="D90" s="104">
        <v>113124</v>
      </c>
      <c r="E90" s="71">
        <v>305907</v>
      </c>
      <c r="F90" s="75" t="s">
        <v>140</v>
      </c>
      <c r="G90" s="71" t="s">
        <v>28</v>
      </c>
      <c r="H90" s="71">
        <v>20</v>
      </c>
      <c r="I90" s="71">
        <v>20</v>
      </c>
      <c r="J90" s="71">
        <v>420</v>
      </c>
      <c r="K90" s="76">
        <v>4.7619047619047616E-2</v>
      </c>
    </row>
    <row r="91" spans="1:11" ht="14.5" customHeight="1" x14ac:dyDescent="0.35">
      <c r="A91" s="92">
        <v>46185</v>
      </c>
      <c r="B91" s="102" t="s">
        <v>259</v>
      </c>
      <c r="C91" s="94" t="s">
        <v>252</v>
      </c>
      <c r="D91" s="105" t="s">
        <v>142</v>
      </c>
      <c r="E91" s="71">
        <v>306127</v>
      </c>
      <c r="F91" s="75" t="s">
        <v>143</v>
      </c>
      <c r="G91" s="71" t="s">
        <v>23</v>
      </c>
      <c r="H91" s="71">
        <v>50</v>
      </c>
      <c r="I91" s="71">
        <v>50</v>
      </c>
      <c r="J91" s="71">
        <v>1760</v>
      </c>
      <c r="K91" s="76">
        <v>2.8409090909090908E-2</v>
      </c>
    </row>
    <row r="92" spans="1:11" ht="29" x14ac:dyDescent="0.35">
      <c r="A92" s="92">
        <v>46185</v>
      </c>
      <c r="B92" s="102" t="s">
        <v>259</v>
      </c>
      <c r="C92" s="94" t="s">
        <v>252</v>
      </c>
      <c r="D92" s="105" t="s">
        <v>142</v>
      </c>
      <c r="E92" s="71">
        <v>303761</v>
      </c>
      <c r="F92" s="75" t="s">
        <v>146</v>
      </c>
      <c r="G92" s="71" t="s">
        <v>28</v>
      </c>
      <c r="H92" s="71">
        <v>20</v>
      </c>
      <c r="I92" s="71">
        <v>20</v>
      </c>
      <c r="J92" s="71">
        <v>1668</v>
      </c>
      <c r="K92" s="76">
        <v>1.1990407673860911E-2</v>
      </c>
    </row>
    <row r="93" spans="1:11" ht="29" x14ac:dyDescent="0.35">
      <c r="A93" s="92">
        <v>46185</v>
      </c>
      <c r="B93" s="102" t="s">
        <v>259</v>
      </c>
      <c r="C93" s="94" t="s">
        <v>252</v>
      </c>
      <c r="D93" s="105" t="s">
        <v>142</v>
      </c>
      <c r="E93" s="71">
        <v>304955</v>
      </c>
      <c r="F93" s="75" t="s">
        <v>148</v>
      </c>
      <c r="G93" s="71" t="s">
        <v>23</v>
      </c>
      <c r="H93" s="71">
        <v>10</v>
      </c>
      <c r="I93" s="71">
        <v>10</v>
      </c>
      <c r="J93" s="71">
        <v>440</v>
      </c>
      <c r="K93" s="76">
        <v>2.2727272727272728E-2</v>
      </c>
    </row>
    <row r="94" spans="1:11" x14ac:dyDescent="0.35">
      <c r="A94" s="92">
        <v>46196</v>
      </c>
      <c r="B94" s="100" t="s">
        <v>150</v>
      </c>
      <c r="C94" s="94" t="s">
        <v>252</v>
      </c>
      <c r="D94" s="104">
        <v>113007</v>
      </c>
      <c r="E94" s="71">
        <v>305245</v>
      </c>
      <c r="F94" s="75" t="s">
        <v>151</v>
      </c>
      <c r="G94" s="71" t="s">
        <v>23</v>
      </c>
      <c r="H94" s="71">
        <v>30</v>
      </c>
      <c r="I94" s="71">
        <v>30</v>
      </c>
      <c r="J94" s="71">
        <v>16956</v>
      </c>
      <c r="K94" s="76">
        <v>1.7692852087756545E-3</v>
      </c>
    </row>
    <row r="95" spans="1:11" x14ac:dyDescent="0.35">
      <c r="A95" s="92">
        <v>46196</v>
      </c>
      <c r="B95" s="100" t="s">
        <v>150</v>
      </c>
      <c r="C95" s="94" t="s">
        <v>252</v>
      </c>
      <c r="D95" s="104">
        <v>113007</v>
      </c>
      <c r="E95" s="71">
        <v>305246</v>
      </c>
      <c r="F95" s="75" t="s">
        <v>152</v>
      </c>
      <c r="G95" s="71" t="s">
        <v>23</v>
      </c>
      <c r="H95" s="71">
        <v>12</v>
      </c>
      <c r="I95" s="71">
        <v>12</v>
      </c>
      <c r="J95" s="71">
        <v>12600</v>
      </c>
      <c r="K95" s="76">
        <v>9.5238095238095238E-4</v>
      </c>
    </row>
    <row r="96" spans="1:11" x14ac:dyDescent="0.35">
      <c r="A96" s="92">
        <v>46196</v>
      </c>
      <c r="B96" s="100" t="s">
        <v>150</v>
      </c>
      <c r="C96" s="94" t="s">
        <v>252</v>
      </c>
      <c r="D96" s="104">
        <v>113007</v>
      </c>
      <c r="E96" s="71">
        <v>305247</v>
      </c>
      <c r="F96" s="75" t="s">
        <v>153</v>
      </c>
      <c r="G96" s="71" t="s">
        <v>23</v>
      </c>
      <c r="H96" s="71">
        <v>12</v>
      </c>
      <c r="I96" s="71">
        <v>12</v>
      </c>
      <c r="J96" s="71">
        <v>8208</v>
      </c>
      <c r="K96" s="76">
        <v>1.4619883040935672E-3</v>
      </c>
    </row>
    <row r="97" spans="1:11" x14ac:dyDescent="0.35">
      <c r="A97" s="92">
        <v>46204</v>
      </c>
      <c r="B97" s="102" t="s">
        <v>261</v>
      </c>
      <c r="C97" s="94" t="s">
        <v>252</v>
      </c>
      <c r="D97" s="104">
        <v>113142</v>
      </c>
      <c r="E97" s="71">
        <v>305029</v>
      </c>
      <c r="F97" s="75" t="s">
        <v>155</v>
      </c>
      <c r="G97" s="71" t="s">
        <v>23</v>
      </c>
      <c r="H97" s="71">
        <v>38</v>
      </c>
      <c r="I97" s="71">
        <v>38</v>
      </c>
      <c r="J97" s="71">
        <v>2205</v>
      </c>
      <c r="K97" s="76">
        <v>1.7233560090702947E-2</v>
      </c>
    </row>
    <row r="98" spans="1:11" x14ac:dyDescent="0.35">
      <c r="A98" s="92">
        <v>46204</v>
      </c>
      <c r="B98" s="102" t="s">
        <v>261</v>
      </c>
      <c r="C98" s="94" t="s">
        <v>252</v>
      </c>
      <c r="D98" s="104">
        <v>113142</v>
      </c>
      <c r="E98" s="71">
        <v>305030</v>
      </c>
      <c r="F98" s="75" t="s">
        <v>156</v>
      </c>
      <c r="G98" s="71" t="s">
        <v>23</v>
      </c>
      <c r="H98" s="71">
        <v>287</v>
      </c>
      <c r="I98" s="71">
        <v>287</v>
      </c>
      <c r="J98" s="71">
        <v>1800</v>
      </c>
      <c r="K98" s="76">
        <v>0.15944444444444444</v>
      </c>
    </row>
    <row r="99" spans="1:11" x14ac:dyDescent="0.35">
      <c r="A99" s="92">
        <v>46204</v>
      </c>
      <c r="B99" s="102" t="s">
        <v>261</v>
      </c>
      <c r="C99" s="94" t="s">
        <v>252</v>
      </c>
      <c r="D99" s="104">
        <v>113142</v>
      </c>
      <c r="E99" s="71">
        <v>305031</v>
      </c>
      <c r="F99" s="75" t="s">
        <v>157</v>
      </c>
      <c r="G99" s="71" t="s">
        <v>23</v>
      </c>
      <c r="H99" s="71">
        <v>447</v>
      </c>
      <c r="I99" s="71">
        <v>447</v>
      </c>
      <c r="J99" s="71">
        <v>1450</v>
      </c>
      <c r="K99" s="76">
        <v>0.30827586206896551</v>
      </c>
    </row>
    <row r="100" spans="1:11" x14ac:dyDescent="0.35">
      <c r="A100" s="92">
        <v>46204</v>
      </c>
      <c r="B100" s="102" t="s">
        <v>261</v>
      </c>
      <c r="C100" s="94" t="s">
        <v>252</v>
      </c>
      <c r="D100" s="104">
        <v>113142</v>
      </c>
      <c r="E100" s="71">
        <v>305032</v>
      </c>
      <c r="F100" s="75" t="s">
        <v>158</v>
      </c>
      <c r="G100" s="71" t="s">
        <v>23</v>
      </c>
      <c r="H100" s="71">
        <v>320</v>
      </c>
      <c r="I100" s="71">
        <v>320</v>
      </c>
      <c r="J100" s="71">
        <v>1080</v>
      </c>
      <c r="K100" s="76">
        <v>0.29629629629629628</v>
      </c>
    </row>
    <row r="101" spans="1:11" x14ac:dyDescent="0.35">
      <c r="A101" s="92">
        <v>46204</v>
      </c>
      <c r="B101" s="102" t="s">
        <v>261</v>
      </c>
      <c r="C101" s="94" t="s">
        <v>252</v>
      </c>
      <c r="D101" s="104">
        <v>113142</v>
      </c>
      <c r="E101" s="71">
        <v>306209</v>
      </c>
      <c r="F101" s="75" t="s">
        <v>260</v>
      </c>
      <c r="G101" s="71" t="s">
        <v>23</v>
      </c>
      <c r="H101" s="71">
        <v>50</v>
      </c>
      <c r="I101" s="71">
        <v>50</v>
      </c>
      <c r="J101" s="71">
        <v>162</v>
      </c>
      <c r="K101" s="76">
        <v>0.30864197530864196</v>
      </c>
    </row>
    <row r="102" spans="1:11" ht="14.5" customHeight="1" x14ac:dyDescent="0.35">
      <c r="A102" s="92">
        <v>46212</v>
      </c>
      <c r="B102" s="102" t="s">
        <v>263</v>
      </c>
      <c r="C102" s="94" t="s">
        <v>262</v>
      </c>
      <c r="D102" s="105" t="s">
        <v>166</v>
      </c>
      <c r="E102" s="71">
        <v>302267</v>
      </c>
      <c r="F102" s="75" t="s">
        <v>167</v>
      </c>
      <c r="G102" s="71" t="s">
        <v>28</v>
      </c>
      <c r="H102" s="71">
        <v>180</v>
      </c>
      <c r="I102" s="71">
        <v>180</v>
      </c>
      <c r="J102" s="71">
        <v>17136</v>
      </c>
      <c r="K102" s="76">
        <v>1.050420168067227E-2</v>
      </c>
    </row>
    <row r="103" spans="1:11" ht="29" x14ac:dyDescent="0.35">
      <c r="A103" s="92">
        <v>46212</v>
      </c>
      <c r="B103" s="102" t="s">
        <v>263</v>
      </c>
      <c r="C103" s="94" t="s">
        <v>272</v>
      </c>
      <c r="D103" s="105" t="s">
        <v>166</v>
      </c>
      <c r="E103" s="71">
        <v>302269</v>
      </c>
      <c r="F103" s="75" t="s">
        <v>168</v>
      </c>
      <c r="G103" s="71" t="s">
        <v>28</v>
      </c>
      <c r="H103" s="71">
        <v>708</v>
      </c>
      <c r="I103" s="71">
        <v>708</v>
      </c>
      <c r="J103" s="71">
        <v>7800</v>
      </c>
      <c r="K103" s="76">
        <v>9.0769230769230769E-2</v>
      </c>
    </row>
    <row r="104" spans="1:11" ht="29" x14ac:dyDescent="0.35">
      <c r="A104" s="92">
        <v>46212</v>
      </c>
      <c r="B104" s="102" t="s">
        <v>263</v>
      </c>
      <c r="C104" s="94" t="s">
        <v>273</v>
      </c>
      <c r="D104" s="105" t="s">
        <v>166</v>
      </c>
      <c r="E104" s="71">
        <v>304899</v>
      </c>
      <c r="F104" s="75" t="s">
        <v>84</v>
      </c>
      <c r="G104" s="71" t="s">
        <v>23</v>
      </c>
      <c r="H104" s="71">
        <v>2112</v>
      </c>
      <c r="I104" s="71">
        <v>2112</v>
      </c>
      <c r="J104" s="71">
        <v>53280</v>
      </c>
      <c r="K104" s="76">
        <v>3.9639639639639637E-2</v>
      </c>
    </row>
    <row r="105" spans="1:11" ht="29" x14ac:dyDescent="0.35">
      <c r="A105" s="92">
        <v>46212</v>
      </c>
      <c r="B105" s="102" t="s">
        <v>263</v>
      </c>
      <c r="C105" s="94" t="s">
        <v>267</v>
      </c>
      <c r="D105" s="105" t="s">
        <v>166</v>
      </c>
      <c r="E105" s="71">
        <v>304901</v>
      </c>
      <c r="F105" s="75" t="s">
        <v>171</v>
      </c>
      <c r="G105" s="71" t="s">
        <v>23</v>
      </c>
      <c r="H105" s="71">
        <v>204</v>
      </c>
      <c r="I105" s="71">
        <v>204</v>
      </c>
      <c r="J105" s="71">
        <v>25344</v>
      </c>
      <c r="K105" s="76">
        <v>8.049242424242424E-3</v>
      </c>
    </row>
    <row r="106" spans="1:11" ht="29" x14ac:dyDescent="0.35">
      <c r="A106" s="92">
        <v>46212</v>
      </c>
      <c r="B106" s="102" t="s">
        <v>263</v>
      </c>
      <c r="C106" s="94" t="s">
        <v>274</v>
      </c>
      <c r="D106" s="105" t="s">
        <v>166</v>
      </c>
      <c r="E106" s="71">
        <v>304902</v>
      </c>
      <c r="F106" s="75" t="s">
        <v>172</v>
      </c>
      <c r="G106" s="71" t="s">
        <v>23</v>
      </c>
      <c r="H106" s="71">
        <v>252</v>
      </c>
      <c r="I106" s="71">
        <v>252</v>
      </c>
      <c r="J106" s="71">
        <v>17538</v>
      </c>
      <c r="K106" s="76">
        <v>1.4368799178925761E-2</v>
      </c>
    </row>
    <row r="107" spans="1:11" ht="29" x14ac:dyDescent="0.35">
      <c r="A107" s="92">
        <v>46212</v>
      </c>
      <c r="B107" s="102" t="s">
        <v>263</v>
      </c>
      <c r="C107" s="94" t="s">
        <v>275</v>
      </c>
      <c r="D107" s="105" t="s">
        <v>166</v>
      </c>
      <c r="E107" s="71">
        <v>305650</v>
      </c>
      <c r="F107" s="75" t="s">
        <v>105</v>
      </c>
      <c r="G107" s="71" t="s">
        <v>23</v>
      </c>
      <c r="H107" s="71">
        <v>816</v>
      </c>
      <c r="I107" s="71">
        <v>816</v>
      </c>
      <c r="J107" s="71">
        <v>1800</v>
      </c>
      <c r="K107" s="76">
        <v>0.45333333333333331</v>
      </c>
    </row>
    <row r="108" spans="1:11" ht="29" x14ac:dyDescent="0.35">
      <c r="A108" s="92">
        <v>46212</v>
      </c>
      <c r="B108" s="102" t="s">
        <v>263</v>
      </c>
      <c r="C108" s="94" t="s">
        <v>276</v>
      </c>
      <c r="D108" s="105" t="s">
        <v>166</v>
      </c>
      <c r="E108" s="71">
        <v>305644</v>
      </c>
      <c r="F108" s="75" t="s">
        <v>174</v>
      </c>
      <c r="G108" s="71" t="s">
        <v>23</v>
      </c>
      <c r="H108" s="71">
        <v>166</v>
      </c>
      <c r="I108" s="71">
        <v>166</v>
      </c>
      <c r="J108" s="71">
        <v>588</v>
      </c>
      <c r="K108" s="76">
        <v>0.28231292517006801</v>
      </c>
    </row>
    <row r="109" spans="1:11" ht="29" x14ac:dyDescent="0.35">
      <c r="A109" s="92">
        <v>46212</v>
      </c>
      <c r="B109" s="102" t="s">
        <v>263</v>
      </c>
      <c r="C109" s="94" t="s">
        <v>277</v>
      </c>
      <c r="D109" s="105" t="s">
        <v>166</v>
      </c>
      <c r="E109" s="71">
        <v>300940</v>
      </c>
      <c r="F109" s="75" t="s">
        <v>29</v>
      </c>
      <c r="G109" s="71" t="s">
        <v>23</v>
      </c>
      <c r="H109" s="71">
        <v>660</v>
      </c>
      <c r="I109" s="71">
        <v>660</v>
      </c>
      <c r="J109" s="71">
        <v>19236</v>
      </c>
      <c r="K109" s="76">
        <v>3.4310667498440424E-2</v>
      </c>
    </row>
    <row r="110" spans="1:11" ht="29" x14ac:dyDescent="0.35">
      <c r="A110" s="92">
        <v>46212</v>
      </c>
      <c r="B110" s="102" t="s">
        <v>263</v>
      </c>
      <c r="C110" s="94" t="s">
        <v>278</v>
      </c>
      <c r="D110" s="105" t="s">
        <v>166</v>
      </c>
      <c r="E110" s="71">
        <v>301107</v>
      </c>
      <c r="F110" s="75" t="s">
        <v>30</v>
      </c>
      <c r="G110" s="71" t="s">
        <v>23</v>
      </c>
      <c r="H110" s="71">
        <v>680</v>
      </c>
      <c r="I110" s="71">
        <v>680</v>
      </c>
      <c r="J110" s="71">
        <v>11088</v>
      </c>
      <c r="K110" s="76">
        <v>6.1327561327561328E-2</v>
      </c>
    </row>
    <row r="111" spans="1:11" ht="29" x14ac:dyDescent="0.35">
      <c r="A111" s="92">
        <v>46212</v>
      </c>
      <c r="B111" s="102" t="s">
        <v>263</v>
      </c>
      <c r="C111" s="94" t="s">
        <v>279</v>
      </c>
      <c r="D111" s="105" t="s">
        <v>166</v>
      </c>
      <c r="E111" s="71">
        <v>301108</v>
      </c>
      <c r="F111" s="75" t="s">
        <v>31</v>
      </c>
      <c r="G111" s="71" t="s">
        <v>23</v>
      </c>
      <c r="H111" s="71">
        <v>440</v>
      </c>
      <c r="I111" s="71">
        <v>440</v>
      </c>
      <c r="J111" s="71">
        <v>6528</v>
      </c>
      <c r="K111" s="76">
        <v>6.7401960784313722E-2</v>
      </c>
    </row>
    <row r="112" spans="1:11" ht="29" x14ac:dyDescent="0.35">
      <c r="A112" s="92">
        <v>46212</v>
      </c>
      <c r="B112" s="102" t="s">
        <v>263</v>
      </c>
      <c r="C112" s="94" t="s">
        <v>280</v>
      </c>
      <c r="D112" s="105" t="s">
        <v>166</v>
      </c>
      <c r="E112" s="71">
        <v>800659</v>
      </c>
      <c r="F112" s="75" t="s">
        <v>104</v>
      </c>
      <c r="G112" s="71" t="s">
        <v>23</v>
      </c>
      <c r="H112" s="71">
        <v>224</v>
      </c>
      <c r="I112" s="71">
        <v>224</v>
      </c>
      <c r="J112" s="71">
        <v>3366</v>
      </c>
      <c r="K112" s="76">
        <v>6.6547831253713607E-2</v>
      </c>
    </row>
    <row r="113" spans="1:11" x14ac:dyDescent="0.35">
      <c r="A113" s="97">
        <v>46209</v>
      </c>
      <c r="B113" s="100" t="s">
        <v>177</v>
      </c>
      <c r="C113" s="100" t="s">
        <v>252</v>
      </c>
      <c r="D113" s="104">
        <v>113156</v>
      </c>
      <c r="E113" s="71">
        <v>306747</v>
      </c>
      <c r="F113" s="75" t="s">
        <v>178</v>
      </c>
      <c r="G113" s="71" t="s">
        <v>23</v>
      </c>
      <c r="H113" s="71">
        <v>10</v>
      </c>
      <c r="I113" s="71">
        <v>10</v>
      </c>
      <c r="J113" s="71">
        <v>222</v>
      </c>
      <c r="K113" s="76">
        <v>4.5045045045045043E-2</v>
      </c>
    </row>
    <row r="114" spans="1:11" x14ac:dyDescent="0.35">
      <c r="A114" s="92">
        <v>46209</v>
      </c>
      <c r="B114" s="100" t="s">
        <v>181</v>
      </c>
      <c r="C114" s="94" t="s">
        <v>252</v>
      </c>
      <c r="D114" s="104">
        <v>113164</v>
      </c>
      <c r="E114" s="71">
        <v>306343</v>
      </c>
      <c r="F114" s="75" t="s">
        <v>182</v>
      </c>
      <c r="G114" s="71" t="s">
        <v>28</v>
      </c>
      <c r="H114" s="71">
        <v>150</v>
      </c>
      <c r="I114" s="71">
        <v>150</v>
      </c>
      <c r="J114" s="71">
        <v>3700</v>
      </c>
      <c r="K114" s="76">
        <v>4.0540540540540543E-2</v>
      </c>
    </row>
    <row r="115" spans="1:11" x14ac:dyDescent="0.35">
      <c r="A115" s="97">
        <v>46209</v>
      </c>
      <c r="B115" s="100" t="s">
        <v>181</v>
      </c>
      <c r="C115" s="94" t="s">
        <v>252</v>
      </c>
      <c r="D115" s="104">
        <v>113164</v>
      </c>
      <c r="E115" s="71">
        <v>306398</v>
      </c>
      <c r="F115" s="75" t="s">
        <v>38</v>
      </c>
      <c r="G115" s="71" t="s">
        <v>28</v>
      </c>
      <c r="H115" s="71">
        <v>1500</v>
      </c>
      <c r="I115" s="71">
        <v>1500</v>
      </c>
      <c r="J115" s="71">
        <v>6720</v>
      </c>
      <c r="K115" s="76">
        <v>0.22321428571428573</v>
      </c>
    </row>
    <row r="116" spans="1:11" x14ac:dyDescent="0.35">
      <c r="A116" s="92">
        <v>46209</v>
      </c>
      <c r="B116" s="100" t="s">
        <v>181</v>
      </c>
      <c r="C116" s="94" t="s">
        <v>252</v>
      </c>
      <c r="D116" s="104">
        <v>113164</v>
      </c>
      <c r="E116" s="71">
        <v>306399</v>
      </c>
      <c r="F116" s="75" t="s">
        <v>39</v>
      </c>
      <c r="G116" s="71" t="s">
        <v>28</v>
      </c>
      <c r="H116" s="71">
        <v>1000</v>
      </c>
      <c r="I116" s="71">
        <v>1000</v>
      </c>
      <c r="J116" s="71">
        <v>3192</v>
      </c>
      <c r="K116" s="76">
        <v>0.31328320802005011</v>
      </c>
    </row>
    <row r="117" spans="1:11" x14ac:dyDescent="0.35">
      <c r="A117" s="97">
        <v>46209</v>
      </c>
      <c r="B117" s="100" t="s">
        <v>181</v>
      </c>
      <c r="C117" s="94" t="s">
        <v>252</v>
      </c>
      <c r="D117" s="104">
        <v>113164</v>
      </c>
      <c r="E117" s="71">
        <v>306400</v>
      </c>
      <c r="F117" s="75" t="s">
        <v>40</v>
      </c>
      <c r="G117" s="71" t="s">
        <v>28</v>
      </c>
      <c r="H117" s="71">
        <v>500</v>
      </c>
      <c r="I117" s="71">
        <v>500</v>
      </c>
      <c r="J117" s="71">
        <v>880</v>
      </c>
      <c r="K117" s="76">
        <v>0.56818181818181823</v>
      </c>
    </row>
    <row r="118" spans="1:11" x14ac:dyDescent="0.35">
      <c r="A118" s="92">
        <v>46209</v>
      </c>
      <c r="B118" s="100" t="s">
        <v>181</v>
      </c>
      <c r="C118" s="94" t="s">
        <v>252</v>
      </c>
      <c r="D118" s="104">
        <v>113164</v>
      </c>
      <c r="E118" s="71">
        <v>306403</v>
      </c>
      <c r="F118" s="75" t="s">
        <v>69</v>
      </c>
      <c r="G118" s="71" t="s">
        <v>28</v>
      </c>
      <c r="H118" s="71">
        <v>500</v>
      </c>
      <c r="I118" s="71">
        <v>500</v>
      </c>
      <c r="J118" s="71">
        <v>2688</v>
      </c>
      <c r="K118" s="76">
        <v>0.18601190476190477</v>
      </c>
    </row>
    <row r="119" spans="1:11" x14ac:dyDescent="0.35">
      <c r="A119" s="97">
        <v>46209</v>
      </c>
      <c r="B119" s="100" t="s">
        <v>181</v>
      </c>
      <c r="C119" s="94" t="s">
        <v>252</v>
      </c>
      <c r="D119" s="104">
        <v>113164</v>
      </c>
      <c r="E119" s="71">
        <v>306404</v>
      </c>
      <c r="F119" s="75" t="s">
        <v>75</v>
      </c>
      <c r="G119" s="71" t="s">
        <v>28</v>
      </c>
      <c r="H119" s="71">
        <v>500</v>
      </c>
      <c r="I119" s="71">
        <v>500</v>
      </c>
      <c r="J119" s="71">
        <v>1584</v>
      </c>
      <c r="K119" s="76">
        <v>0.31565656565656564</v>
      </c>
    </row>
    <row r="120" spans="1:11" x14ac:dyDescent="0.35">
      <c r="A120" s="92">
        <v>46209</v>
      </c>
      <c r="B120" s="100" t="s">
        <v>181</v>
      </c>
      <c r="C120" s="94" t="s">
        <v>252</v>
      </c>
      <c r="D120" s="104">
        <v>113164</v>
      </c>
      <c r="E120" s="71">
        <v>300351</v>
      </c>
      <c r="F120" s="75" t="s">
        <v>77</v>
      </c>
      <c r="G120" s="71" t="s">
        <v>28</v>
      </c>
      <c r="H120" s="71">
        <v>50</v>
      </c>
      <c r="I120" s="71">
        <v>50</v>
      </c>
      <c r="J120" s="71">
        <v>1904</v>
      </c>
      <c r="K120" s="76">
        <v>2.6260504201680673E-2</v>
      </c>
    </row>
    <row r="121" spans="1:11" x14ac:dyDescent="0.35">
      <c r="A121" s="97">
        <v>46209</v>
      </c>
      <c r="B121" s="100" t="s">
        <v>181</v>
      </c>
      <c r="C121" s="94" t="s">
        <v>252</v>
      </c>
      <c r="D121" s="104">
        <v>113164</v>
      </c>
      <c r="E121" s="71">
        <v>301815</v>
      </c>
      <c r="F121" s="75" t="s">
        <v>183</v>
      </c>
      <c r="G121" s="71" t="s">
        <v>28</v>
      </c>
      <c r="H121" s="71">
        <v>75</v>
      </c>
      <c r="I121" s="71">
        <v>75</v>
      </c>
      <c r="J121" s="71">
        <v>1140</v>
      </c>
      <c r="K121" s="76">
        <v>6.5789473684210523E-2</v>
      </c>
    </row>
    <row r="122" spans="1:11" x14ac:dyDescent="0.35">
      <c r="A122" s="92">
        <v>46209</v>
      </c>
      <c r="B122" s="100" t="s">
        <v>181</v>
      </c>
      <c r="C122" s="94" t="s">
        <v>252</v>
      </c>
      <c r="D122" s="104">
        <v>113164</v>
      </c>
      <c r="E122" s="71">
        <v>301816</v>
      </c>
      <c r="F122" s="75" t="s">
        <v>184</v>
      </c>
      <c r="G122" s="71" t="s">
        <v>28</v>
      </c>
      <c r="H122" s="71">
        <v>30</v>
      </c>
      <c r="I122" s="71">
        <v>30</v>
      </c>
      <c r="J122" s="71">
        <v>890</v>
      </c>
      <c r="K122" s="76">
        <v>3.3707865168539325E-2</v>
      </c>
    </row>
    <row r="123" spans="1:11" x14ac:dyDescent="0.35">
      <c r="A123" s="97">
        <v>46209</v>
      </c>
      <c r="B123" s="100" t="s">
        <v>181</v>
      </c>
      <c r="C123" s="94" t="s">
        <v>252</v>
      </c>
      <c r="D123" s="104">
        <v>113164</v>
      </c>
      <c r="E123" s="71">
        <v>901325</v>
      </c>
      <c r="F123" s="75" t="s">
        <v>41</v>
      </c>
      <c r="G123" s="71" t="s">
        <v>28</v>
      </c>
      <c r="H123" s="71">
        <v>750</v>
      </c>
      <c r="I123" s="71">
        <v>750</v>
      </c>
      <c r="J123" s="71">
        <v>2205</v>
      </c>
      <c r="K123" s="76">
        <v>0.3401360544217687</v>
      </c>
    </row>
    <row r="124" spans="1:11" x14ac:dyDescent="0.35">
      <c r="A124" s="92">
        <v>46209</v>
      </c>
      <c r="B124" s="100" t="s">
        <v>181</v>
      </c>
      <c r="C124" s="94" t="s">
        <v>252</v>
      </c>
      <c r="D124" s="104">
        <v>113164</v>
      </c>
      <c r="E124" s="71">
        <v>901326</v>
      </c>
      <c r="F124" s="75" t="s">
        <v>42</v>
      </c>
      <c r="G124" s="71" t="s">
        <v>28</v>
      </c>
      <c r="H124" s="71">
        <v>300</v>
      </c>
      <c r="I124" s="71">
        <v>300</v>
      </c>
      <c r="J124" s="71">
        <v>1800</v>
      </c>
      <c r="K124" s="76">
        <v>0.16666666666666666</v>
      </c>
    </row>
    <row r="125" spans="1:11" x14ac:dyDescent="0.35">
      <c r="A125" s="97">
        <v>46209</v>
      </c>
      <c r="B125" s="100" t="s">
        <v>181</v>
      </c>
      <c r="C125" s="94" t="s">
        <v>252</v>
      </c>
      <c r="D125" s="104">
        <v>113164</v>
      </c>
      <c r="E125" s="71">
        <v>901327</v>
      </c>
      <c r="F125" s="75" t="s">
        <v>98</v>
      </c>
      <c r="G125" s="71" t="s">
        <v>28</v>
      </c>
      <c r="H125" s="71">
        <v>1000</v>
      </c>
      <c r="I125" s="71">
        <v>1000</v>
      </c>
      <c r="J125" s="71">
        <v>1260</v>
      </c>
      <c r="K125" s="76">
        <v>0.79365079365079361</v>
      </c>
    </row>
    <row r="126" spans="1:11" x14ac:dyDescent="0.35">
      <c r="A126" s="92">
        <v>46209</v>
      </c>
      <c r="B126" s="100" t="s">
        <v>181</v>
      </c>
      <c r="C126" s="94" t="s">
        <v>252</v>
      </c>
      <c r="D126" s="104">
        <v>113164</v>
      </c>
      <c r="E126" s="71">
        <v>901328</v>
      </c>
      <c r="F126" s="75" t="s">
        <v>43</v>
      </c>
      <c r="G126" s="71" t="s">
        <v>28</v>
      </c>
      <c r="H126" s="71">
        <v>500</v>
      </c>
      <c r="I126" s="71">
        <v>500</v>
      </c>
      <c r="J126" s="71">
        <v>1170</v>
      </c>
      <c r="K126" s="76">
        <v>0.42735042735042733</v>
      </c>
    </row>
    <row r="127" spans="1:11" x14ac:dyDescent="0.35">
      <c r="A127" s="97">
        <v>46209</v>
      </c>
      <c r="B127" s="100" t="s">
        <v>181</v>
      </c>
      <c r="C127" s="94" t="s">
        <v>252</v>
      </c>
      <c r="D127" s="104">
        <v>113164</v>
      </c>
      <c r="E127" s="71">
        <v>901329</v>
      </c>
      <c r="F127" s="75" t="s">
        <v>44</v>
      </c>
      <c r="G127" s="71" t="s">
        <v>28</v>
      </c>
      <c r="H127" s="71">
        <v>500</v>
      </c>
      <c r="I127" s="71">
        <v>500</v>
      </c>
      <c r="J127" s="71">
        <v>528</v>
      </c>
      <c r="K127" s="76">
        <v>0.94696969696969702</v>
      </c>
    </row>
    <row r="128" spans="1:11" x14ac:dyDescent="0.35">
      <c r="A128" s="97">
        <v>46209</v>
      </c>
      <c r="B128" s="100" t="s">
        <v>186</v>
      </c>
      <c r="C128" s="100" t="s">
        <v>264</v>
      </c>
      <c r="D128" s="104" t="s">
        <v>187</v>
      </c>
      <c r="E128" s="71">
        <v>306209</v>
      </c>
      <c r="F128" s="75" t="s">
        <v>260</v>
      </c>
      <c r="G128" s="71" t="s">
        <v>23</v>
      </c>
      <c r="H128" s="71">
        <v>20</v>
      </c>
      <c r="I128" s="71">
        <v>20</v>
      </c>
      <c r="J128" s="71">
        <v>162</v>
      </c>
      <c r="K128" s="76">
        <v>0.12345679012345678</v>
      </c>
    </row>
    <row r="129" spans="1:11" x14ac:dyDescent="0.35">
      <c r="A129" s="92">
        <v>46209</v>
      </c>
      <c r="B129" s="102" t="s">
        <v>265</v>
      </c>
      <c r="C129" s="94" t="s">
        <v>252</v>
      </c>
      <c r="D129" s="104">
        <v>113178</v>
      </c>
      <c r="E129" s="71">
        <v>800659</v>
      </c>
      <c r="F129" s="75" t="s">
        <v>104</v>
      </c>
      <c r="G129" s="71" t="s">
        <v>23</v>
      </c>
      <c r="H129" s="71">
        <v>5000</v>
      </c>
      <c r="I129" s="71">
        <v>5000</v>
      </c>
      <c r="J129" s="71">
        <v>3366</v>
      </c>
      <c r="K129" s="76">
        <v>1.4854426619132501</v>
      </c>
    </row>
    <row r="130" spans="1:11" x14ac:dyDescent="0.35">
      <c r="A130" s="92">
        <v>46209</v>
      </c>
      <c r="B130" s="102" t="s">
        <v>265</v>
      </c>
      <c r="C130" s="94" t="s">
        <v>252</v>
      </c>
      <c r="D130" s="104">
        <v>113178</v>
      </c>
      <c r="E130" s="71">
        <v>306209</v>
      </c>
      <c r="F130" s="75" t="s">
        <v>260</v>
      </c>
      <c r="G130" s="71" t="s">
        <v>23</v>
      </c>
      <c r="H130" s="71">
        <v>150</v>
      </c>
      <c r="I130" s="71">
        <v>150</v>
      </c>
      <c r="J130" s="71">
        <v>162</v>
      </c>
      <c r="K130" s="76">
        <v>0.93</v>
      </c>
    </row>
    <row r="131" spans="1:11" ht="14.5" customHeight="1" x14ac:dyDescent="0.35">
      <c r="A131" s="92">
        <v>46216</v>
      </c>
      <c r="B131" s="100" t="s">
        <v>281</v>
      </c>
      <c r="C131" s="94" t="s">
        <v>252</v>
      </c>
      <c r="D131" s="104">
        <v>113178</v>
      </c>
      <c r="E131" s="71">
        <v>306232</v>
      </c>
      <c r="F131" s="75" t="s">
        <v>194</v>
      </c>
      <c r="G131" s="71" t="s">
        <v>23</v>
      </c>
      <c r="H131" s="71">
        <v>600</v>
      </c>
      <c r="I131" s="71">
        <v>600</v>
      </c>
      <c r="J131" s="71">
        <v>4180</v>
      </c>
      <c r="K131" s="76">
        <v>0.14354066985645933</v>
      </c>
    </row>
    <row r="132" spans="1:11" x14ac:dyDescent="0.35">
      <c r="A132" s="92">
        <v>46216</v>
      </c>
      <c r="B132" s="100" t="s">
        <v>281</v>
      </c>
      <c r="C132" s="94" t="s">
        <v>252</v>
      </c>
      <c r="D132" s="104">
        <v>113178</v>
      </c>
      <c r="E132" s="71">
        <v>306233</v>
      </c>
      <c r="F132" s="75" t="s">
        <v>195</v>
      </c>
      <c r="G132" s="71" t="s">
        <v>23</v>
      </c>
      <c r="H132" s="71">
        <v>600</v>
      </c>
      <c r="I132" s="71">
        <v>600</v>
      </c>
      <c r="J132" s="71">
        <v>1218</v>
      </c>
      <c r="K132" s="76">
        <v>0.49261083743842365</v>
      </c>
    </row>
    <row r="133" spans="1:11" x14ac:dyDescent="0.35">
      <c r="A133" s="97">
        <f>Sheet1!C439</f>
        <v>46218</v>
      </c>
      <c r="B133" s="100" t="str">
        <f>Sheet1!C440</f>
        <v>2026-07/PO/VDL-118D</v>
      </c>
      <c r="C133" s="100" t="s">
        <v>252</v>
      </c>
      <c r="D133" s="104" t="str">
        <f>Sheet1!G440</f>
        <v>113189 REF 8528</v>
      </c>
      <c r="E133" s="71">
        <v>302037</v>
      </c>
      <c r="F133" s="75" t="s">
        <v>101</v>
      </c>
      <c r="G133" s="71" t="s">
        <v>23</v>
      </c>
      <c r="H133" s="71">
        <v>1</v>
      </c>
      <c r="I133" s="71">
        <v>1</v>
      </c>
      <c r="J133" s="71">
        <v>162</v>
      </c>
      <c r="K133" s="76">
        <v>6.1728395061728392E-3</v>
      </c>
    </row>
    <row r="134" spans="1:11" x14ac:dyDescent="0.35">
      <c r="A134" s="97">
        <f>Sheet1!C446</f>
        <v>46218</v>
      </c>
      <c r="B134" s="100" t="str">
        <f>Sheet1!C447</f>
        <v>2026-07/PO/VDL-119AA</v>
      </c>
      <c r="C134" s="100" t="s">
        <v>252</v>
      </c>
      <c r="D134" s="104">
        <f>Sheet1!G447</f>
        <v>113190</v>
      </c>
      <c r="E134" s="71">
        <v>306754</v>
      </c>
      <c r="F134" s="75" t="s">
        <v>200</v>
      </c>
      <c r="G134" s="71" t="s">
        <v>23</v>
      </c>
      <c r="H134" s="71">
        <v>30</v>
      </c>
      <c r="I134" s="71">
        <v>30</v>
      </c>
      <c r="J134" s="71">
        <v>440</v>
      </c>
      <c r="K134" s="76">
        <v>6.8181818181818177E-2</v>
      </c>
    </row>
    <row r="135" spans="1:11" ht="14.5" customHeight="1" x14ac:dyDescent="0.35">
      <c r="A135" s="92">
        <v>46218</v>
      </c>
      <c r="B135" s="102" t="s">
        <v>266</v>
      </c>
      <c r="C135" s="94" t="s">
        <v>252</v>
      </c>
      <c r="D135" s="104">
        <v>113206</v>
      </c>
      <c r="E135" s="71">
        <v>300856</v>
      </c>
      <c r="F135" s="75" t="s">
        <v>204</v>
      </c>
      <c r="G135" s="71" t="s">
        <v>28</v>
      </c>
      <c r="H135" s="71">
        <v>500</v>
      </c>
      <c r="I135" s="71">
        <v>500</v>
      </c>
      <c r="J135" s="71">
        <v>22344</v>
      </c>
      <c r="K135" s="76">
        <v>2.2377372001432153E-2</v>
      </c>
    </row>
    <row r="136" spans="1:11" ht="29" x14ac:dyDescent="0.35">
      <c r="A136" s="92">
        <v>46218</v>
      </c>
      <c r="B136" s="102" t="s">
        <v>266</v>
      </c>
      <c r="C136" s="94" t="s">
        <v>252</v>
      </c>
      <c r="D136" s="104">
        <v>113206</v>
      </c>
      <c r="E136" s="71">
        <v>301979</v>
      </c>
      <c r="F136" s="75" t="s">
        <v>205</v>
      </c>
      <c r="G136" s="71" t="s">
        <v>28</v>
      </c>
      <c r="H136" s="71">
        <v>100</v>
      </c>
      <c r="I136" s="71">
        <v>100</v>
      </c>
      <c r="J136" s="71">
        <v>3000</v>
      </c>
      <c r="K136" s="76">
        <v>3.3333333333333333E-2</v>
      </c>
    </row>
    <row r="137" spans="1:11" ht="29" x14ac:dyDescent="0.35">
      <c r="A137" s="92">
        <v>46218</v>
      </c>
      <c r="B137" s="102" t="s">
        <v>266</v>
      </c>
      <c r="C137" s="94" t="s">
        <v>252</v>
      </c>
      <c r="D137" s="104">
        <v>113206</v>
      </c>
      <c r="E137" s="71">
        <v>302213</v>
      </c>
      <c r="F137" s="75" t="s">
        <v>206</v>
      </c>
      <c r="G137" s="71" t="s">
        <v>28</v>
      </c>
      <c r="H137" s="71">
        <v>100</v>
      </c>
      <c r="I137" s="71">
        <v>100</v>
      </c>
      <c r="J137" s="71">
        <v>3850</v>
      </c>
      <c r="K137" s="76">
        <v>2.5974025974025976E-2</v>
      </c>
    </row>
    <row r="138" spans="1:11" ht="29" x14ac:dyDescent="0.35">
      <c r="A138" s="92">
        <v>46218</v>
      </c>
      <c r="B138" s="102" t="s">
        <v>266</v>
      </c>
      <c r="C138" s="94" t="s">
        <v>252</v>
      </c>
      <c r="D138" s="104">
        <v>113206</v>
      </c>
      <c r="E138" s="71">
        <v>302214</v>
      </c>
      <c r="F138" s="75" t="s">
        <v>207</v>
      </c>
      <c r="G138" s="71" t="s">
        <v>28</v>
      </c>
      <c r="H138" s="71">
        <v>100</v>
      </c>
      <c r="I138" s="71">
        <v>100</v>
      </c>
      <c r="J138" s="71">
        <v>1800</v>
      </c>
      <c r="K138" s="76">
        <v>5.5555555555555552E-2</v>
      </c>
    </row>
    <row r="139" spans="1:11" ht="29" x14ac:dyDescent="0.35">
      <c r="A139" s="92">
        <v>46218</v>
      </c>
      <c r="B139" s="102" t="s">
        <v>266</v>
      </c>
      <c r="C139" s="94" t="s">
        <v>252</v>
      </c>
      <c r="D139" s="104">
        <v>113206</v>
      </c>
      <c r="E139" s="71">
        <v>302215</v>
      </c>
      <c r="F139" s="75" t="s">
        <v>208</v>
      </c>
      <c r="G139" s="71" t="s">
        <v>28</v>
      </c>
      <c r="H139" s="71">
        <v>50</v>
      </c>
      <c r="I139" s="71">
        <v>50</v>
      </c>
      <c r="J139" s="71">
        <v>1600</v>
      </c>
      <c r="K139" s="76">
        <v>3.125E-2</v>
      </c>
    </row>
    <row r="140" spans="1:11" ht="29" x14ac:dyDescent="0.35">
      <c r="A140" s="92">
        <v>46218</v>
      </c>
      <c r="B140" s="102" t="s">
        <v>266</v>
      </c>
      <c r="C140" s="94" t="s">
        <v>252</v>
      </c>
      <c r="D140" s="104">
        <v>113206</v>
      </c>
      <c r="E140" s="71">
        <v>302267</v>
      </c>
      <c r="F140" s="75" t="s">
        <v>167</v>
      </c>
      <c r="G140" s="71" t="s">
        <v>28</v>
      </c>
      <c r="H140" s="71">
        <v>1000</v>
      </c>
      <c r="I140" s="71">
        <v>1000</v>
      </c>
      <c r="J140" s="71">
        <v>18480</v>
      </c>
      <c r="K140" s="76">
        <v>5.4112554112554112E-2</v>
      </c>
    </row>
    <row r="141" spans="1:11" ht="29" x14ac:dyDescent="0.35">
      <c r="A141" s="92">
        <v>46218</v>
      </c>
      <c r="B141" s="102" t="s">
        <v>266</v>
      </c>
      <c r="C141" s="94" t="s">
        <v>252</v>
      </c>
      <c r="D141" s="104">
        <v>113206</v>
      </c>
      <c r="E141" s="71">
        <v>302268</v>
      </c>
      <c r="F141" s="75" t="s">
        <v>110</v>
      </c>
      <c r="G141" s="71" t="s">
        <v>28</v>
      </c>
      <c r="H141" s="71">
        <v>1000</v>
      </c>
      <c r="I141" s="71">
        <v>1000</v>
      </c>
      <c r="J141" s="71">
        <v>13020</v>
      </c>
      <c r="K141" s="76">
        <v>7.6804915514592939E-2</v>
      </c>
    </row>
    <row r="142" spans="1:11" ht="29" x14ac:dyDescent="0.35">
      <c r="A142" s="92">
        <v>46218</v>
      </c>
      <c r="B142" s="102" t="s">
        <v>266</v>
      </c>
      <c r="C142" s="94" t="s">
        <v>252</v>
      </c>
      <c r="D142" s="104">
        <v>113206</v>
      </c>
      <c r="E142" s="71">
        <v>302269</v>
      </c>
      <c r="F142" s="75" t="s">
        <v>168</v>
      </c>
      <c r="G142" s="71" t="s">
        <v>28</v>
      </c>
      <c r="H142" s="71">
        <v>750</v>
      </c>
      <c r="I142" s="71">
        <v>750</v>
      </c>
      <c r="J142" s="71">
        <v>7800</v>
      </c>
      <c r="K142" s="76">
        <v>9.6153846153846159E-2</v>
      </c>
    </row>
    <row r="143" spans="1:11" ht="29" x14ac:dyDescent="0.35">
      <c r="A143" s="92">
        <v>46218</v>
      </c>
      <c r="B143" s="102" t="s">
        <v>266</v>
      </c>
      <c r="C143" s="94" t="s">
        <v>252</v>
      </c>
      <c r="D143" s="104">
        <v>113206</v>
      </c>
      <c r="E143" s="71">
        <v>304570</v>
      </c>
      <c r="F143" s="75" t="s">
        <v>149</v>
      </c>
      <c r="G143" s="71" t="s">
        <v>209</v>
      </c>
      <c r="H143" s="71">
        <v>500</v>
      </c>
      <c r="I143" s="71">
        <v>500</v>
      </c>
      <c r="J143" s="71">
        <v>8960</v>
      </c>
      <c r="K143" s="76">
        <v>5.5803571428571432E-2</v>
      </c>
    </row>
    <row r="144" spans="1:11" ht="29" x14ac:dyDescent="0.35">
      <c r="A144" s="92">
        <v>46218</v>
      </c>
      <c r="B144" s="102" t="s">
        <v>266</v>
      </c>
      <c r="C144" s="94" t="s">
        <v>252</v>
      </c>
      <c r="D144" s="104">
        <v>113206</v>
      </c>
      <c r="E144" s="71">
        <v>302586</v>
      </c>
      <c r="F144" s="75" t="s">
        <v>210</v>
      </c>
      <c r="G144" s="71" t="s">
        <v>28</v>
      </c>
      <c r="H144" s="71">
        <v>50</v>
      </c>
      <c r="I144" s="71">
        <v>50</v>
      </c>
      <c r="J144" s="71">
        <v>2592</v>
      </c>
      <c r="K144" s="76">
        <v>1.9290123456790122E-2</v>
      </c>
    </row>
    <row r="145" spans="1:11" ht="29" x14ac:dyDescent="0.35">
      <c r="A145" s="92">
        <v>46218</v>
      </c>
      <c r="B145" s="102" t="s">
        <v>266</v>
      </c>
      <c r="C145" s="94" t="s">
        <v>252</v>
      </c>
      <c r="D145" s="104">
        <v>113206</v>
      </c>
      <c r="E145" s="71">
        <v>302587</v>
      </c>
      <c r="F145" s="75" t="s">
        <v>211</v>
      </c>
      <c r="G145" s="71" t="s">
        <v>28</v>
      </c>
      <c r="H145" s="71">
        <v>75</v>
      </c>
      <c r="I145" s="71">
        <v>75</v>
      </c>
      <c r="J145" s="71">
        <v>1904</v>
      </c>
      <c r="K145" s="76">
        <v>3.9390756302521007E-2</v>
      </c>
    </row>
    <row r="146" spans="1:11" ht="29" x14ac:dyDescent="0.35">
      <c r="A146" s="92">
        <v>46218</v>
      </c>
      <c r="B146" s="102" t="s">
        <v>266</v>
      </c>
      <c r="C146" s="94" t="s">
        <v>252</v>
      </c>
      <c r="D146" s="104">
        <v>113206</v>
      </c>
      <c r="E146" s="71">
        <v>305939</v>
      </c>
      <c r="F146" s="75" t="s">
        <v>179</v>
      </c>
      <c r="G146" s="71" t="s">
        <v>180</v>
      </c>
      <c r="H146" s="71">
        <v>20</v>
      </c>
      <c r="I146" s="71">
        <v>20</v>
      </c>
      <c r="J146" s="71">
        <v>72</v>
      </c>
      <c r="K146" s="76">
        <v>0.27777777777777779</v>
      </c>
    </row>
    <row r="147" spans="1:11" ht="29" x14ac:dyDescent="0.35">
      <c r="A147" s="92">
        <v>46218</v>
      </c>
      <c r="B147" s="102" t="s">
        <v>266</v>
      </c>
      <c r="C147" s="94" t="s">
        <v>252</v>
      </c>
      <c r="D147" s="104">
        <v>113206</v>
      </c>
      <c r="E147" s="71">
        <v>306238</v>
      </c>
      <c r="F147" s="75" t="s">
        <v>212</v>
      </c>
      <c r="G147" s="71" t="s">
        <v>28</v>
      </c>
      <c r="H147" s="71">
        <v>75</v>
      </c>
      <c r="I147" s="71">
        <v>75</v>
      </c>
      <c r="J147" s="71">
        <v>624</v>
      </c>
      <c r="K147" s="76">
        <v>0.1201923076923077</v>
      </c>
    </row>
    <row r="148" spans="1:11" ht="29" x14ac:dyDescent="0.35">
      <c r="A148" s="92">
        <v>46218</v>
      </c>
      <c r="B148" s="102" t="s">
        <v>266</v>
      </c>
      <c r="C148" s="94" t="s">
        <v>252</v>
      </c>
      <c r="D148" s="104">
        <v>113206</v>
      </c>
      <c r="E148" s="71">
        <v>302559</v>
      </c>
      <c r="F148" s="75" t="s">
        <v>213</v>
      </c>
      <c r="G148" s="71" t="s">
        <v>28</v>
      </c>
      <c r="H148" s="71">
        <v>50</v>
      </c>
      <c r="I148" s="71">
        <v>50</v>
      </c>
      <c r="J148" s="71">
        <v>4032</v>
      </c>
      <c r="K148" s="76">
        <v>1.240079365079365E-2</v>
      </c>
    </row>
    <row r="149" spans="1:11" ht="29" x14ac:dyDescent="0.35">
      <c r="A149" s="92">
        <v>46218</v>
      </c>
      <c r="B149" s="102" t="s">
        <v>266</v>
      </c>
      <c r="C149" s="94" t="s">
        <v>252</v>
      </c>
      <c r="D149" s="104">
        <v>113206</v>
      </c>
      <c r="E149" s="71">
        <v>300940</v>
      </c>
      <c r="F149" s="75" t="s">
        <v>29</v>
      </c>
      <c r="G149" s="71" t="s">
        <v>23</v>
      </c>
      <c r="H149" s="71">
        <v>1000</v>
      </c>
      <c r="I149" s="71">
        <v>1000</v>
      </c>
      <c r="J149" s="71">
        <v>19236</v>
      </c>
      <c r="K149" s="76">
        <v>5.1985859846121855E-2</v>
      </c>
    </row>
    <row r="150" spans="1:11" ht="29" x14ac:dyDescent="0.35">
      <c r="A150" s="92">
        <v>46218</v>
      </c>
      <c r="B150" s="102" t="s">
        <v>266</v>
      </c>
      <c r="C150" s="94" t="s">
        <v>252</v>
      </c>
      <c r="D150" s="104">
        <v>113206</v>
      </c>
      <c r="E150" s="71">
        <v>301108</v>
      </c>
      <c r="F150" s="75" t="s">
        <v>31</v>
      </c>
      <c r="G150" s="71" t="s">
        <v>23</v>
      </c>
      <c r="H150" s="71">
        <v>1000</v>
      </c>
      <c r="I150" s="71">
        <v>1000</v>
      </c>
      <c r="J150" s="71">
        <v>6528</v>
      </c>
      <c r="K150" s="76">
        <v>0.15318627450980393</v>
      </c>
    </row>
    <row r="151" spans="1:11" ht="29" x14ac:dyDescent="0.35">
      <c r="A151" s="92">
        <v>46218</v>
      </c>
      <c r="B151" s="102" t="s">
        <v>266</v>
      </c>
      <c r="C151" s="94" t="s">
        <v>252</v>
      </c>
      <c r="D151" s="104">
        <v>113206</v>
      </c>
      <c r="E151" s="71">
        <v>301111</v>
      </c>
      <c r="F151" s="75" t="s">
        <v>33</v>
      </c>
      <c r="G151" s="71" t="s">
        <v>23</v>
      </c>
      <c r="H151" s="71">
        <v>2000</v>
      </c>
      <c r="I151" s="71">
        <v>2000</v>
      </c>
      <c r="J151" s="71">
        <v>29808</v>
      </c>
      <c r="K151" s="76">
        <v>6.7096081588835219E-2</v>
      </c>
    </row>
    <row r="152" spans="1:11" ht="29" x14ac:dyDescent="0.35">
      <c r="A152" s="92">
        <v>46218</v>
      </c>
      <c r="B152" s="102" t="s">
        <v>266</v>
      </c>
      <c r="C152" s="94" t="s">
        <v>252</v>
      </c>
      <c r="D152" s="104">
        <v>113206</v>
      </c>
      <c r="E152" s="71">
        <v>301112</v>
      </c>
      <c r="F152" s="75" t="s">
        <v>60</v>
      </c>
      <c r="G152" s="71" t="s">
        <v>23</v>
      </c>
      <c r="H152" s="71">
        <v>1000</v>
      </c>
      <c r="I152" s="71">
        <v>1000</v>
      </c>
      <c r="J152" s="71">
        <v>12432</v>
      </c>
      <c r="K152" s="76">
        <v>8.0437580437580439E-2</v>
      </c>
    </row>
    <row r="153" spans="1:11" ht="29" x14ac:dyDescent="0.35">
      <c r="A153" s="92">
        <v>46218</v>
      </c>
      <c r="B153" s="102" t="s">
        <v>266</v>
      </c>
      <c r="C153" s="94" t="s">
        <v>252</v>
      </c>
      <c r="D153" s="104">
        <v>113206</v>
      </c>
      <c r="E153" s="71">
        <v>301387</v>
      </c>
      <c r="F153" s="75" t="s">
        <v>215</v>
      </c>
      <c r="G153" s="71" t="s">
        <v>23</v>
      </c>
      <c r="H153" s="71">
        <v>500</v>
      </c>
      <c r="I153" s="71">
        <v>500</v>
      </c>
      <c r="J153" s="71">
        <v>21252</v>
      </c>
      <c r="K153" s="76">
        <v>2.352719744024092E-2</v>
      </c>
    </row>
    <row r="154" spans="1:11" ht="29" x14ac:dyDescent="0.35">
      <c r="A154" s="92">
        <v>46218</v>
      </c>
      <c r="B154" s="102" t="s">
        <v>266</v>
      </c>
      <c r="C154" s="94" t="s">
        <v>252</v>
      </c>
      <c r="D154" s="104">
        <v>113206</v>
      </c>
      <c r="E154" s="71">
        <v>302977</v>
      </c>
      <c r="F154" s="75" t="s">
        <v>216</v>
      </c>
      <c r="G154" s="71" t="s">
        <v>23</v>
      </c>
      <c r="H154" s="71">
        <v>100</v>
      </c>
      <c r="I154" s="71">
        <v>100</v>
      </c>
      <c r="J154" s="71">
        <v>1244</v>
      </c>
      <c r="K154" s="76">
        <v>8.0385852090032156E-2</v>
      </c>
    </row>
    <row r="155" spans="1:11" ht="29" x14ac:dyDescent="0.35">
      <c r="A155" s="92">
        <v>46218</v>
      </c>
      <c r="B155" s="102" t="s">
        <v>266</v>
      </c>
      <c r="C155" s="94" t="s">
        <v>252</v>
      </c>
      <c r="D155" s="104">
        <v>113206</v>
      </c>
      <c r="E155" s="71">
        <v>800659</v>
      </c>
      <c r="F155" s="75" t="s">
        <v>218</v>
      </c>
      <c r="G155" s="71" t="s">
        <v>23</v>
      </c>
      <c r="H155" s="71">
        <v>1000</v>
      </c>
      <c r="I155" s="71">
        <v>1000</v>
      </c>
      <c r="J155" s="71">
        <v>3366</v>
      </c>
      <c r="K155" s="76">
        <v>0.29708853238265004</v>
      </c>
    </row>
    <row r="156" spans="1:11" ht="29" x14ac:dyDescent="0.35">
      <c r="A156" s="92">
        <v>46218</v>
      </c>
      <c r="B156" s="102" t="s">
        <v>266</v>
      </c>
      <c r="C156" s="94" t="s">
        <v>252</v>
      </c>
      <c r="D156" s="104">
        <v>113206</v>
      </c>
      <c r="E156" s="71">
        <v>306677</v>
      </c>
      <c r="F156" s="75" t="s">
        <v>220</v>
      </c>
      <c r="G156" s="71" t="s">
        <v>23</v>
      </c>
      <c r="H156" s="71">
        <v>75</v>
      </c>
      <c r="I156" s="71">
        <v>75</v>
      </c>
      <c r="J156" s="71">
        <v>1632</v>
      </c>
      <c r="K156" s="76">
        <v>4.595588235294118E-2</v>
      </c>
    </row>
    <row r="157" spans="1:11" ht="29" x14ac:dyDescent="0.35">
      <c r="A157" s="92">
        <v>46218</v>
      </c>
      <c r="B157" s="102" t="s">
        <v>266</v>
      </c>
      <c r="C157" s="94" t="s">
        <v>252</v>
      </c>
      <c r="D157" s="104">
        <v>113206</v>
      </c>
      <c r="E157" s="71">
        <v>306678</v>
      </c>
      <c r="F157" s="75" t="s">
        <v>221</v>
      </c>
      <c r="G157" s="71" t="s">
        <v>23</v>
      </c>
      <c r="H157" s="71">
        <v>50</v>
      </c>
      <c r="I157" s="71">
        <v>50</v>
      </c>
      <c r="J157" s="71">
        <v>780</v>
      </c>
      <c r="K157" s="76">
        <v>6.4102564102564097E-2</v>
      </c>
    </row>
    <row r="158" spans="1:11" ht="29" x14ac:dyDescent="0.35">
      <c r="A158" s="92">
        <v>46218</v>
      </c>
      <c r="B158" s="102" t="s">
        <v>266</v>
      </c>
      <c r="C158" s="94" t="s">
        <v>252</v>
      </c>
      <c r="D158" s="104">
        <v>113206</v>
      </c>
      <c r="E158" s="71">
        <v>306651</v>
      </c>
      <c r="F158" s="75" t="s">
        <v>222</v>
      </c>
      <c r="G158" s="71" t="s">
        <v>23</v>
      </c>
      <c r="H158" s="71">
        <v>750</v>
      </c>
      <c r="I158" s="71">
        <v>750</v>
      </c>
      <c r="J158" s="71">
        <v>31200</v>
      </c>
      <c r="K158" s="76">
        <v>2.403846153846154E-2</v>
      </c>
    </row>
    <row r="159" spans="1:11" ht="29" x14ac:dyDescent="0.35">
      <c r="A159" s="92">
        <v>46218</v>
      </c>
      <c r="B159" s="102" t="s">
        <v>266</v>
      </c>
      <c r="C159" s="94" t="s">
        <v>252</v>
      </c>
      <c r="D159" s="104">
        <v>113206</v>
      </c>
      <c r="E159" s="71">
        <v>306652</v>
      </c>
      <c r="F159" s="75" t="s">
        <v>223</v>
      </c>
      <c r="G159" s="71" t="s">
        <v>23</v>
      </c>
      <c r="H159" s="71">
        <v>750</v>
      </c>
      <c r="I159" s="71">
        <v>750</v>
      </c>
      <c r="J159" s="71">
        <v>21360</v>
      </c>
      <c r="K159" s="76">
        <v>3.51123595505618E-2</v>
      </c>
    </row>
    <row r="160" spans="1:11" ht="29" x14ac:dyDescent="0.35">
      <c r="A160" s="92">
        <v>46218</v>
      </c>
      <c r="B160" s="102" t="s">
        <v>266</v>
      </c>
      <c r="C160" s="94" t="s">
        <v>252</v>
      </c>
      <c r="D160" s="104">
        <v>113206</v>
      </c>
      <c r="E160" s="71">
        <v>306653</v>
      </c>
      <c r="F160" s="75" t="s">
        <v>224</v>
      </c>
      <c r="G160" s="71" t="s">
        <v>23</v>
      </c>
      <c r="H160" s="71">
        <v>750</v>
      </c>
      <c r="I160" s="71">
        <v>750</v>
      </c>
      <c r="J160" s="71">
        <v>13080</v>
      </c>
      <c r="K160" s="76">
        <v>5.7339449541284407E-2</v>
      </c>
    </row>
    <row r="161" spans="1:11" ht="29" x14ac:dyDescent="0.35">
      <c r="A161" s="92">
        <v>46218</v>
      </c>
      <c r="B161" s="102" t="s">
        <v>266</v>
      </c>
      <c r="C161" s="94" t="s">
        <v>252</v>
      </c>
      <c r="D161" s="104">
        <v>113206</v>
      </c>
      <c r="E161" s="71">
        <v>306654</v>
      </c>
      <c r="F161" s="75" t="s">
        <v>225</v>
      </c>
      <c r="G161" s="71" t="s">
        <v>23</v>
      </c>
      <c r="H161" s="71">
        <v>750</v>
      </c>
      <c r="I161" s="71">
        <v>750</v>
      </c>
      <c r="J161" s="71">
        <v>9000</v>
      </c>
      <c r="K161" s="76">
        <v>8.3333333333333329E-2</v>
      </c>
    </row>
    <row r="162" spans="1:11" ht="29" x14ac:dyDescent="0.35">
      <c r="A162" s="92">
        <v>46218</v>
      </c>
      <c r="B162" s="102" t="s">
        <v>266</v>
      </c>
      <c r="C162" s="94" t="s">
        <v>252</v>
      </c>
      <c r="D162" s="104">
        <v>113206</v>
      </c>
      <c r="E162" s="71">
        <v>306655</v>
      </c>
      <c r="F162" s="75" t="s">
        <v>226</v>
      </c>
      <c r="G162" s="71" t="s">
        <v>23</v>
      </c>
      <c r="H162" s="71">
        <v>75</v>
      </c>
      <c r="I162" s="71">
        <v>75</v>
      </c>
      <c r="J162" s="71"/>
      <c r="K162" s="76"/>
    </row>
    <row r="163" spans="1:11" ht="29" x14ac:dyDescent="0.35">
      <c r="A163" s="92">
        <v>46218</v>
      </c>
      <c r="B163" s="102" t="s">
        <v>266</v>
      </c>
      <c r="C163" s="94" t="s">
        <v>252</v>
      </c>
      <c r="D163" s="104">
        <v>113206</v>
      </c>
      <c r="E163" s="71">
        <v>306656</v>
      </c>
      <c r="F163" s="75" t="s">
        <v>227</v>
      </c>
      <c r="G163" s="71" t="s">
        <v>23</v>
      </c>
      <c r="H163" s="71">
        <v>75</v>
      </c>
      <c r="I163" s="71">
        <v>75</v>
      </c>
      <c r="J163" s="71">
        <v>1428</v>
      </c>
      <c r="K163" s="76">
        <v>5.2521008403361345E-2</v>
      </c>
    </row>
    <row r="164" spans="1:11" ht="29" x14ac:dyDescent="0.35">
      <c r="A164" s="92">
        <v>46218</v>
      </c>
      <c r="B164" s="102" t="s">
        <v>266</v>
      </c>
      <c r="C164" s="94" t="s">
        <v>252</v>
      </c>
      <c r="D164" s="104">
        <v>113206</v>
      </c>
      <c r="E164" s="71">
        <v>306657</v>
      </c>
      <c r="F164" s="75" t="s">
        <v>228</v>
      </c>
      <c r="G164" s="71" t="s">
        <v>23</v>
      </c>
      <c r="H164" s="71">
        <v>275</v>
      </c>
      <c r="I164" s="71">
        <v>275</v>
      </c>
      <c r="J164" s="71">
        <v>1344</v>
      </c>
      <c r="K164" s="76">
        <v>0.20461309523809523</v>
      </c>
    </row>
    <row r="165" spans="1:11" ht="29" x14ac:dyDescent="0.35">
      <c r="A165" s="92">
        <v>46218</v>
      </c>
      <c r="B165" s="102" t="s">
        <v>266</v>
      </c>
      <c r="C165" s="94" t="s">
        <v>252</v>
      </c>
      <c r="D165" s="104">
        <v>113206</v>
      </c>
      <c r="E165" s="71">
        <v>305535</v>
      </c>
      <c r="F165" s="75" t="s">
        <v>51</v>
      </c>
      <c r="G165" s="71" t="s">
        <v>23</v>
      </c>
      <c r="H165" s="71">
        <v>30</v>
      </c>
      <c r="I165" s="71">
        <v>30</v>
      </c>
      <c r="J165" s="71">
        <v>642</v>
      </c>
      <c r="K165" s="76">
        <v>4.6728971962616821E-2</v>
      </c>
    </row>
    <row r="166" spans="1:11" ht="29" x14ac:dyDescent="0.35">
      <c r="A166" s="92">
        <v>46218</v>
      </c>
      <c r="B166" s="102" t="s">
        <v>266</v>
      </c>
      <c r="C166" s="94" t="s">
        <v>252</v>
      </c>
      <c r="D166" s="104">
        <v>113206</v>
      </c>
      <c r="E166" s="71">
        <v>305381</v>
      </c>
      <c r="F166" s="75" t="s">
        <v>231</v>
      </c>
      <c r="G166" s="71" t="s">
        <v>23</v>
      </c>
      <c r="H166" s="71">
        <v>50</v>
      </c>
      <c r="I166" s="71">
        <v>50</v>
      </c>
      <c r="J166" s="71">
        <v>566</v>
      </c>
      <c r="K166" s="76">
        <v>8.8339222614840993E-2</v>
      </c>
    </row>
    <row r="167" spans="1:11" ht="29" x14ac:dyDescent="0.35">
      <c r="A167" s="92">
        <v>46218</v>
      </c>
      <c r="B167" s="102" t="s">
        <v>266</v>
      </c>
      <c r="C167" s="94" t="s">
        <v>252</v>
      </c>
      <c r="D167" s="104">
        <v>113206</v>
      </c>
      <c r="E167" s="71">
        <v>305535</v>
      </c>
      <c r="F167" s="75" t="s">
        <v>232</v>
      </c>
      <c r="G167" s="71" t="s">
        <v>52</v>
      </c>
      <c r="H167" s="71">
        <v>20</v>
      </c>
      <c r="I167" s="71">
        <v>20</v>
      </c>
      <c r="J167" s="71">
        <v>642</v>
      </c>
      <c r="K167" s="76">
        <v>3.1152647975077882E-2</v>
      </c>
    </row>
    <row r="168" spans="1:11" ht="29" x14ac:dyDescent="0.35">
      <c r="A168" s="92">
        <v>46218</v>
      </c>
      <c r="B168" s="102" t="s">
        <v>266</v>
      </c>
      <c r="C168" s="94" t="s">
        <v>252</v>
      </c>
      <c r="D168" s="104">
        <v>113206</v>
      </c>
      <c r="E168" s="71">
        <v>305644</v>
      </c>
      <c r="F168" s="75" t="s">
        <v>234</v>
      </c>
      <c r="G168" s="71" t="s">
        <v>23</v>
      </c>
      <c r="H168" s="71">
        <v>100</v>
      </c>
      <c r="I168" s="71">
        <v>100</v>
      </c>
      <c r="J168" s="71">
        <v>588</v>
      </c>
      <c r="K168" s="76">
        <v>0.17006802721088435</v>
      </c>
    </row>
    <row r="169" spans="1:11" x14ac:dyDescent="0.35">
      <c r="A169" s="92">
        <v>46224</v>
      </c>
      <c r="B169" s="100" t="s">
        <v>235</v>
      </c>
      <c r="C169" s="94" t="s">
        <v>252</v>
      </c>
      <c r="D169" s="104">
        <v>113210</v>
      </c>
      <c r="E169" s="71">
        <v>305730</v>
      </c>
      <c r="F169" s="75" t="s">
        <v>236</v>
      </c>
      <c r="G169" s="71" t="s">
        <v>23</v>
      </c>
      <c r="H169" s="71">
        <v>48</v>
      </c>
      <c r="I169" s="71">
        <v>48</v>
      </c>
      <c r="J169" s="71">
        <v>321</v>
      </c>
      <c r="K169" s="76">
        <v>0.14953271028037382</v>
      </c>
    </row>
    <row r="170" spans="1:11" x14ac:dyDescent="0.35">
      <c r="A170" s="92">
        <v>46224</v>
      </c>
      <c r="B170" s="100" t="s">
        <v>235</v>
      </c>
      <c r="C170" s="94" t="s">
        <v>252</v>
      </c>
      <c r="D170" s="104">
        <v>113210</v>
      </c>
      <c r="E170" s="71">
        <v>306069</v>
      </c>
      <c r="F170" s="75" t="s">
        <v>237</v>
      </c>
      <c r="G170" s="71" t="s">
        <v>23</v>
      </c>
      <c r="H170" s="71">
        <v>12</v>
      </c>
      <c r="I170" s="71">
        <v>12</v>
      </c>
      <c r="J170" s="71">
        <v>547</v>
      </c>
      <c r="K170" s="76">
        <v>2.1937842778793418E-2</v>
      </c>
    </row>
    <row r="171" spans="1:11" x14ac:dyDescent="0.35">
      <c r="A171" s="92">
        <v>46224</v>
      </c>
      <c r="B171" s="100" t="s">
        <v>235</v>
      </c>
      <c r="C171" s="94" t="s">
        <v>252</v>
      </c>
      <c r="D171" s="104">
        <v>113210</v>
      </c>
      <c r="E171" s="71">
        <v>304823</v>
      </c>
      <c r="F171" s="75" t="s">
        <v>238</v>
      </c>
      <c r="G171" s="71" t="s">
        <v>23</v>
      </c>
      <c r="H171" s="71">
        <v>12</v>
      </c>
      <c r="I171" s="71">
        <v>12</v>
      </c>
      <c r="J171" s="71">
        <v>144</v>
      </c>
      <c r="K171" s="76">
        <v>8.3333333333333329E-2</v>
      </c>
    </row>
    <row r="172" spans="1:11" ht="14.5" customHeight="1" x14ac:dyDescent="0.35">
      <c r="A172" s="92">
        <v>46218</v>
      </c>
      <c r="B172" s="102" t="s">
        <v>268</v>
      </c>
      <c r="C172" s="94" t="s">
        <v>267</v>
      </c>
      <c r="D172" s="105" t="s">
        <v>241</v>
      </c>
      <c r="E172" s="71">
        <v>800659</v>
      </c>
      <c r="F172" s="75" t="s">
        <v>218</v>
      </c>
      <c r="G172" s="71" t="s">
        <v>23</v>
      </c>
      <c r="H172" s="71">
        <v>1000</v>
      </c>
      <c r="I172" s="71">
        <v>1000</v>
      </c>
      <c r="J172" s="71">
        <v>1650</v>
      </c>
      <c r="K172" s="76">
        <v>0.60606060606060608</v>
      </c>
    </row>
    <row r="173" spans="1:11" ht="29" x14ac:dyDescent="0.35">
      <c r="A173" s="92">
        <v>46218</v>
      </c>
      <c r="B173" s="102" t="s">
        <v>268</v>
      </c>
      <c r="C173" s="94" t="s">
        <v>274</v>
      </c>
      <c r="D173" s="105" t="s">
        <v>241</v>
      </c>
      <c r="E173" s="71">
        <v>800659</v>
      </c>
      <c r="F173" s="75" t="s">
        <v>218</v>
      </c>
      <c r="G173" s="71" t="s">
        <v>23</v>
      </c>
      <c r="H173" s="71">
        <v>2300</v>
      </c>
      <c r="I173" s="71">
        <v>2300</v>
      </c>
      <c r="J173" s="71">
        <v>1650</v>
      </c>
      <c r="K173" s="76">
        <v>1.393939393939394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Amrizal Arif</dc:creator>
  <cp:lastModifiedBy>lenovo</cp:lastModifiedBy>
  <dcterms:created xsi:type="dcterms:W3CDTF">2026-07-23T06:04:07Z</dcterms:created>
  <dcterms:modified xsi:type="dcterms:W3CDTF">2026-07-29T14:20:26Z</dcterms:modified>
</cp:coreProperties>
</file>